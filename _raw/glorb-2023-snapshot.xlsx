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Ds" sheetId="1" r:id="rId5"/>
    <sheet state="visible" name="Twisty Lights" sheetId="2" r:id="rId6"/>
    <sheet state="visible" name="Corrugated Plastic" sheetId="3" r:id="rId7"/>
    <sheet state="visible" name="Dimensions" sheetId="4" r:id="rId8"/>
    <sheet state="visible" name="Tasks" sheetId="5" r:id="rId9"/>
    <sheet state="visible" name="Stuff" sheetId="6" r:id="rId10"/>
    <sheet state="visible" name="passwords" sheetId="7" r:id="rId11"/>
    <sheet state="visible" name="Chargers" sheetId="8" r:id="rId12"/>
    <sheet state="visible" name="Batteries" sheetId="9" r:id="rId13"/>
    <sheet state="visible" name="Expenses" sheetId="10" r:id="rId14"/>
    <sheet state="visible" name="Power" sheetId="11" r:id="rId15"/>
    <sheet state="visible" name="Sheet12" sheetId="12" r:id="rId16"/>
    <sheet state="visible" name="Weight" sheetId="13" r:id="rId17"/>
    <sheet state="visible" name="Schedule" sheetId="14" r:id="rId18"/>
    <sheet state="visible" name="Speakers" sheetId="15" r:id="rId19"/>
  </sheets>
  <definedNames/>
  <calcPr/>
</workbook>
</file>

<file path=xl/sharedStrings.xml><?xml version="1.0" encoding="utf-8"?>
<sst xmlns="http://schemas.openxmlformats.org/spreadsheetml/2006/main" count="359" uniqueCount="248">
  <si>
    <t>Width</t>
  </si>
  <si>
    <t>Height</t>
  </si>
  <si>
    <t>Count</t>
  </si>
  <si>
    <t>Totah Width + Height</t>
  </si>
  <si>
    <t>amps</t>
  </si>
  <si>
    <t>panel</t>
  </si>
  <si>
    <t>side of car</t>
  </si>
  <si>
    <t>total inches</t>
  </si>
  <si>
    <t>total feet</t>
  </si>
  <si>
    <t>total meters</t>
  </si>
  <si>
    <t>total strips</t>
  </si>
  <si>
    <t>total leds</t>
  </si>
  <si>
    <t>total led amps</t>
  </si>
  <si>
    <t>watts</t>
  </si>
  <si>
    <t>amps per strip</t>
  </si>
  <si>
    <t>at volts</t>
  </si>
  <si>
    <t>watts per strip</t>
  </si>
  <si>
    <t>test IRL amps rainbow demo mode</t>
  </si>
  <si>
    <t>volts</t>
  </si>
  <si>
    <r>
      <rPr/>
      <t xml:space="preserve">Coil calculator </t>
    </r>
    <r>
      <rPr>
        <color rgb="FF1155CC"/>
        <u/>
      </rPr>
      <t>http://production-solution.com/coil-calculator.htm</t>
    </r>
  </si>
  <si>
    <t>Likely max wattage we can pull from dodge ram alternator at 160 amp at 12v is 1920 watts</t>
  </si>
  <si>
    <t>watts per meter @ 60 leds/m</t>
  </si>
  <si>
    <t>amps per meter @ 12v and 60 leds/m</t>
  </si>
  <si>
    <r>
      <rPr/>
      <t xml:space="preserve">Strip ordered: </t>
    </r>
    <r>
      <rPr>
        <color rgb="FF1155CC"/>
        <u/>
      </rPr>
      <t>https://www.aliexpress.com/item/32943534376.html?spm=a2g0o.order_detail.0.0.bc2bf19cLKDtU5</t>
    </r>
  </si>
  <si>
    <t>Real value 10mm, but leaving space between</t>
  </si>
  <si>
    <t>Adjust this until number of layers is 1</t>
  </si>
  <si>
    <t>Length of pole.  8ft</t>
  </si>
  <si>
    <t>Diameter of pole.  4in.</t>
  </si>
  <si>
    <t>Calculation result, meters</t>
  </si>
  <si>
    <t>For 4 legs, meters</t>
  </si>
  <si>
    <t>at 60 leds/m</t>
  </si>
  <si>
    <t>amps (at 60led/m)</t>
  </si>
  <si>
    <t>at 12v (at 60 led/m)</t>
  </si>
  <si>
    <t>Wire Diameter</t>
  </si>
  <si>
    <t>Number of turns</t>
  </si>
  <si>
    <t>Bobbin length</t>
  </si>
  <si>
    <t>Bobbin diameter</t>
  </si>
  <si>
    <t>Total length of wire</t>
  </si>
  <si>
    <t>Total length for whole car</t>
  </si>
  <si>
    <t>LED count</t>
  </si>
  <si>
    <t>Power required</t>
  </si>
  <si>
    <t>Watts needed</t>
  </si>
  <si>
    <t xml:space="preserve">Side panels are 102.5x39 inches - back panels are 102.5x37.5 inches </t>
  </si>
  <si>
    <t>Side Panels</t>
  </si>
  <si>
    <t>Back Panels</t>
  </si>
  <si>
    <t>Plastic Sheets</t>
  </si>
  <si>
    <t>Cost</t>
  </si>
  <si>
    <t>Thing</t>
  </si>
  <si>
    <t>Size (mm)</t>
  </si>
  <si>
    <t>notes</t>
  </si>
  <si>
    <t>Battery box (under floor)</t>
  </si>
  <si>
    <t>Length 1800 width 1016 height 450</t>
  </si>
  <si>
    <t>Car itself</t>
  </si>
  <si>
    <t>Width 1800 length 4000</t>
  </si>
  <si>
    <t>Task</t>
  </si>
  <si>
    <t>Who</t>
  </si>
  <si>
    <t>Done</t>
  </si>
  <si>
    <t>Order battery connectors</t>
  </si>
  <si>
    <t>Chris</t>
  </si>
  <si>
    <t>Y</t>
  </si>
  <si>
    <t>sniff CAN bus (2 wire protocol) and limit to 5mph</t>
  </si>
  <si>
    <t>extra pocketable remote</t>
  </si>
  <si>
    <t>hooks on the art car for adding decorations</t>
  </si>
  <si>
    <t>Url</t>
  </si>
  <si>
    <t>Quantity</t>
  </si>
  <si>
    <t>Total cost</t>
  </si>
  <si>
    <t>Battery</t>
  </si>
  <si>
    <t>https://signaturesolar.com/eg4-lifepower4-lithium-battery-48v-100ah/</t>
  </si>
  <si>
    <t>entire platform</t>
  </si>
  <si>
    <t>https://www.alibaba.com/product-detail/Heavy-Duty-4-8x2-3x1-5M_1600386737337.html?spm=a2700.details.0.0.1b9b675fpwXlSJ</t>
  </si>
  <si>
    <t>remote control platform</t>
  </si>
  <si>
    <t>https://www.alibaba.com/product-detail/4WD-500M-Remote-Control-Transport-72V_1600374734866.html?spm=a2700.8267363.selected.1.65a33e5fpcbqA3</t>
  </si>
  <si>
    <t>12v 80a charger</t>
  </si>
  <si>
    <t>https://www.lithiumion-batteries.com/products/product/cxc1280</t>
  </si>
  <si>
    <t>12v 40a charger</t>
  </si>
  <si>
    <t>https://www.amazon.com/Ampere-Time-Multi-Stage-Efficiency-Batteries/dp/B09SKLM5M9</t>
  </si>
  <si>
    <t>24v 25a charger</t>
  </si>
  <si>
    <t>https://www.lithiumion-batteries.com/products/lithium-ion-chargers/24v-lithium-ion-battery-chargers/24v-45a-lithium-battery-charger</t>
  </si>
  <si>
    <t>12v 30a charger</t>
  </si>
  <si>
    <t>https://www.amazon.com/Victron-Energy-12-Volt-Battery-Bluetooth/dp/B08NY23BKF/ref=pd_lpo_2?pd_rd_i=B08NY23BKF&amp;th=1</t>
  </si>
  <si>
    <t>various chargers including 72v charger</t>
  </si>
  <si>
    <t>https://www.lnleeparts.com/plus/view.php?aid=67</t>
  </si>
  <si>
    <t>CAN sniffer</t>
  </si>
  <si>
    <t>https://www.autopi.io/blog/discover-hidden-functions-in-your-car-with-can-bus/</t>
  </si>
  <si>
    <t>Big Tex 70CH</t>
  </si>
  <si>
    <t>Trailer</t>
  </si>
  <si>
    <t>laptop</t>
  </si>
  <si>
    <t xml:space="preserve">campfka </t>
  </si>
  <si>
    <t xml:space="preserve">router wi-fi </t>
  </si>
  <si>
    <t>titties!</t>
  </si>
  <si>
    <t>Voltage</t>
  </si>
  <si>
    <t>Amps provided @ 12v</t>
  </si>
  <si>
    <t>Watts consumed @ 120v</t>
  </si>
  <si>
    <t>Efficiency (watts per amp, smaller is better)</t>
  </si>
  <si>
    <t>Total watts consumed @ 120v</t>
  </si>
  <si>
    <t>Cost each</t>
  </si>
  <si>
    <t>Cost total</t>
  </si>
  <si>
    <t>Charge time</t>
  </si>
  <si>
    <t>240v compatible?</t>
  </si>
  <si>
    <t>adjustable</t>
  </si>
  <si>
    <t>13.3 hrs</t>
  </si>
  <si>
    <t>n</t>
  </si>
  <si>
    <t>y</t>
  </si>
  <si>
    <t>5 hrs</t>
  </si>
  <si>
    <t>8 hrs</t>
  </si>
  <si>
    <t>https://www.lithiumion-batteries.com/products/product/12v-50a-lithium-ion-battery-charger</t>
  </si>
  <si>
    <t>5.7 hrs</t>
  </si>
  <si>
    <t>https://www.invertersupply.com/index.php?main_page=product_info&amp;products_id=199416</t>
  </si>
  <si>
    <t>?</t>
  </si>
  <si>
    <t>https://www.lithiumbatterypower.com/products/lithium-12v-50a-waterproof-electronic-charger</t>
  </si>
  <si>
    <t>6.67 hrs</t>
  </si>
  <si>
    <t>https://battlebornbatteries.com/product/progressive-dynamics-12v-60-amp-lifepo4-battery-charger/</t>
  </si>
  <si>
    <t>5.33 hrs</t>
  </si>
  <si>
    <t>https://www.amazon.com/AIMS-Power-CON120AC1224DC-Converter-Battery/dp/B07N1K43NQ/ref=psdc_15719911_t1_B07DP3X16F</t>
  </si>
  <si>
    <t>no reviews, worried it sucks</t>
  </si>
  <si>
    <t>https://www.amazon.com/Maintainer-Adjustable-Lithium-Iron-Rechargeable-Desulfator/dp/B09Z25WQPY</t>
  </si>
  <si>
    <t>3 bank charger but we will plug 2 batteries in.  modeled this by divding all the charger numbers by 2</t>
  </si>
  <si>
    <t>victron centaur</t>
  </si>
  <si>
    <t>https://www.meanwell-web.com/en-gb/ac-dc-single-output-intelligent-battery-charger-pb--1000--12</t>
  </si>
  <si>
    <t>Amp hours</t>
  </si>
  <si>
    <t>kWh each</t>
  </si>
  <si>
    <t>Count in series</t>
  </si>
  <si>
    <t>Count in parallel</t>
  </si>
  <si>
    <t>Total count</t>
  </si>
  <si>
    <t>kWh total</t>
  </si>
  <si>
    <t>Charger current each @ 12v (A)</t>
  </si>
  <si>
    <t>Charger at wall plug for each @ 120v (A)</t>
  </si>
  <si>
    <t>Total charger wall plug @ 120v (A)</t>
  </si>
  <si>
    <t>Charge time (hours)</t>
  </si>
  <si>
    <t>Charger current utilized (w)</t>
  </si>
  <si>
    <t>Total current required to charge (w)</t>
  </si>
  <si>
    <t>Weight (lbs)</t>
  </si>
  <si>
    <t>Total weight (lbs)</t>
  </si>
  <si>
    <t>Range at 600wh/mi (mi)</t>
  </si>
  <si>
    <t>Drive time</t>
  </si>
  <si>
    <t>Width (in)</t>
  </si>
  <si>
    <t>Length (in)</t>
  </si>
  <si>
    <t>Height (in)</t>
  </si>
  <si>
    <t>Quantity Wide</t>
  </si>
  <si>
    <t>Quantity Long</t>
  </si>
  <si>
    <t>Quantity Tall</t>
  </si>
  <si>
    <t>Width fit check</t>
  </si>
  <si>
    <t>Length fit check</t>
  </si>
  <si>
    <t>Height fit check</t>
  </si>
  <si>
    <t>https://signaturesolar.com/eg4-lifepower4-lithium-battery-12v-400ah/</t>
  </si>
  <si>
    <t>https://signaturesolar.com/eg4-lifepower4-lithium-battery-24v-200ah/</t>
  </si>
  <si>
    <t>Car speed (mph)</t>
  </si>
  <si>
    <t>Compartment (in)</t>
  </si>
  <si>
    <t>Length</t>
  </si>
  <si>
    <t>Firmware password is QTHN6666</t>
  </si>
  <si>
    <t>Amount</t>
  </si>
  <si>
    <t>Date</t>
  </si>
  <si>
    <t>Reimbursed / paid</t>
  </si>
  <si>
    <t>Base car platform</t>
  </si>
  <si>
    <t>N</t>
  </si>
  <si>
    <t>Spare parts for car</t>
  </si>
  <si>
    <t>8x Batteries</t>
  </si>
  <si>
    <t>Deposit for genny</t>
  </si>
  <si>
    <t>7x battery chargers</t>
  </si>
  <si>
    <t>1x aux battery</t>
  </si>
  <si>
    <t>eezy import forms</t>
  </si>
  <si>
    <t>customs import fee (FCC Logistics)</t>
  </si>
  <si>
    <t>customs duty</t>
  </si>
  <si>
    <t>Mike</t>
  </si>
  <si>
    <t>trailer</t>
  </si>
  <si>
    <t>Cable, crimper, lugs, heatshrink, fuses</t>
  </si>
  <si>
    <t>rpi, wheel, can sniffer, disconnect switch</t>
  </si>
  <si>
    <t>another estop, inverter, rpi power</t>
  </si>
  <si>
    <t>voltage meters, raspberry pi screen, hdmi cable</t>
  </si>
  <si>
    <t>bluetooth controllers</t>
  </si>
  <si>
    <t>backup rpi, case</t>
  </si>
  <si>
    <t>FCC logistics revised import fee because of congestion charges</t>
  </si>
  <si>
    <t>Antenna, adapter, extension cord</t>
  </si>
  <si>
    <t>Rest of generator payment</t>
  </si>
  <si>
    <t>distro for generator</t>
  </si>
  <si>
    <t>Voltmeter, cables, fancy fluke meter</t>
  </si>
  <si>
    <t>Anthony / suspension work</t>
  </si>
  <si>
    <t>bms + charger</t>
  </si>
  <si>
    <t>Tesla batteries</t>
  </si>
  <si>
    <t>Molex crimping tool</t>
  </si>
  <si>
    <t>iCharger s6 balance charger</t>
  </si>
  <si>
    <t xml:space="preserve">Anthony / Battery cage work </t>
  </si>
  <si>
    <t>Fuses, precharge resister, etc</t>
  </si>
  <si>
    <t>EV Stealth cell tap Boards</t>
  </si>
  <si>
    <t>More ev stealth cell tap boards</t>
  </si>
  <si>
    <t>Mike ordered more cell tap boards too?  Placeholder for him</t>
  </si>
  <si>
    <t>Molex connectors</t>
  </si>
  <si>
    <t>Copper lugs</t>
  </si>
  <si>
    <t>connectors xt90</t>
  </si>
  <si>
    <t>magnets</t>
  </si>
  <si>
    <t>hookup wire</t>
  </si>
  <si>
    <t>fuse boxes</t>
  </si>
  <si>
    <t>Big switch</t>
  </si>
  <si>
    <t>smaller switch</t>
  </si>
  <si>
    <t>fuses</t>
  </si>
  <si>
    <t>ring terminals</t>
  </si>
  <si>
    <t>contactors</t>
  </si>
  <si>
    <t xml:space="preserve">Anthony build deposit </t>
  </si>
  <si>
    <t>mike</t>
  </si>
  <si>
    <t>Cable management stuff</t>
  </si>
  <si>
    <t>Storage Deposit/First/Last</t>
  </si>
  <si>
    <t>Anthony build structure</t>
  </si>
  <si>
    <t>Total</t>
  </si>
  <si>
    <t>Just genny</t>
  </si>
  <si>
    <t>Distro for genny</t>
  </si>
  <si>
    <t>Genny total</t>
  </si>
  <si>
    <t>Person Totals</t>
  </si>
  <si>
    <t>Marko</t>
  </si>
  <si>
    <t>Batteries max current (A)</t>
  </si>
  <si>
    <t>Battery count</t>
  </si>
  <si>
    <t>Max watts</t>
  </si>
  <si>
    <t>Power usage each (watts)</t>
  </si>
  <si>
    <t>Total usage</t>
  </si>
  <si>
    <t>Amps @ 12v</t>
  </si>
  <si>
    <t>LEDs</t>
  </si>
  <si>
    <t>Speakers</t>
  </si>
  <si>
    <t>Subwoofer</t>
  </si>
  <si>
    <t>Other lights</t>
  </si>
  <si>
    <t>Freezer</t>
  </si>
  <si>
    <t>Power (a)</t>
  </si>
  <si>
    <t>nominal voltage</t>
  </si>
  <si>
    <t>Measured 2023-05-02 with 3s tesla modules</t>
  </si>
  <si>
    <t>Main car power, idle</t>
  </si>
  <si>
    <t>Main car power, average</t>
  </si>
  <si>
    <t>Main car power, max</t>
  </si>
  <si>
    <t>12v aux power, idle</t>
  </si>
  <si>
    <t>12v aux power, average</t>
  </si>
  <si>
    <t>12v aux power, max</t>
  </si>
  <si>
    <t>Total, idle</t>
  </si>
  <si>
    <t>Total, average</t>
  </si>
  <si>
    <t>Total, max</t>
  </si>
  <si>
    <t>Item</t>
  </si>
  <si>
    <t>Weight</t>
  </si>
  <si>
    <t>Deets</t>
  </si>
  <si>
    <t>Car/Chassis</t>
  </si>
  <si>
    <t xml:space="preserve">Includes base car, steel frame structure, wires, etc. </t>
  </si>
  <si>
    <t>Telsa Batteries</t>
  </si>
  <si>
    <t>60lbs x 6</t>
  </si>
  <si>
    <t>Aux Batteries</t>
  </si>
  <si>
    <t>Sound</t>
  </si>
  <si>
    <t xml:space="preserve">Sub, speakers, wires, etc. </t>
  </si>
  <si>
    <t>Misc</t>
  </si>
  <si>
    <t xml:space="preserve">Mattresses, chairs, etc. </t>
  </si>
  <si>
    <t>Trailer upgrade</t>
  </si>
  <si>
    <t>https://www.bigtextrailerworld.com/inventory/?_inventory_model=10ch</t>
  </si>
  <si>
    <t>7000lb payload vs current 5000lb</t>
  </si>
  <si>
    <t>https://docs.google.com/spreadsheets/d/1HuwkEjOtuLIu9VY55RpGn5CsZDk8FbqaciRUnoAfbxU/edit#gid=1112253488</t>
  </si>
  <si>
    <t>https://docs.google.com/spreadsheets/d/1zl4eyx5fwijJltjDPvQtfIlXxpXC6Gi9mXyQoJXBF7g/edit?usp=sharing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</si>
</sst>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sz val="11.0"/>
      <color rgb="FF333333"/>
      <name val="Roboto"/>
    </font>
    <font>
      <u/>
      <color rgb="FF1155CC"/>
    </font>
    <font>
      <u/>
      <color rgb="FF1155CC"/>
      <name val="Arial"/>
      <scheme val="minor"/>
    </font>
    <font>
      <u/>
      <color rgb="FF0000FF"/>
    </font>
    <font>
      <sz val="11.0"/>
      <color rgb="FFE9E9E9"/>
      <name val="Inter"/>
    </font>
    <font>
      <u/>
      <color rgb="FF1155CC"/>
      <name val="Arial"/>
      <scheme val="minor"/>
    </font>
    <font>
      <sz val="11.0"/>
      <color rgb="FF737373"/>
      <name val="&quot;Helvetica Neue&quot;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B3B3B"/>
        <bgColor rgb="FF3B3B3B"/>
      </patternFill>
    </fill>
    <fill>
      <patternFill patternType="solid">
        <fgColor rgb="FFFDFDFD"/>
        <bgColor rgb="FFFDFDFD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3" fontId="8" numFmtId="0" xfId="0" applyAlignment="1" applyFill="1" applyFont="1">
      <alignment readingOrder="0"/>
    </xf>
    <xf borderId="0" fillId="0" fontId="9" numFmtId="0" xfId="0" applyAlignment="1" applyFont="1">
      <alignment readingOrder="0" shrinkToFit="0" wrapText="1"/>
    </xf>
    <xf borderId="0" fillId="0" fontId="1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4" fontId="10" numFmtId="164" xfId="0" applyAlignment="1" applyFill="1" applyFont="1" applyNumberFormat="1">
      <alignment horizontal="left" readingOrder="0"/>
    </xf>
    <xf borderId="0" fillId="0" fontId="1" numFmtId="164" xfId="0" applyAlignment="1" applyFont="1" applyNumberFormat="1">
      <alignment shrinkToFit="0" wrapText="1"/>
    </xf>
    <xf borderId="0" fillId="0" fontId="11" numFmtId="0" xfId="0" applyAlignment="1" applyFont="1">
      <alignment horizontal="right" readingOrder="0"/>
    </xf>
    <xf borderId="0" fillId="0" fontId="12" numFmtId="164" xfId="0" applyFont="1" applyNumberFormat="1"/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Border="1" applyFont="1"/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Border="1" applyFont="1"/>
    <xf borderId="0" fillId="0" fontId="13" numFmtId="0" xfId="0" applyAlignment="1" applyFont="1">
      <alignment readingOrder="0"/>
    </xf>
    <xf borderId="0" fillId="0" fontId="14" numFmtId="0" xfId="0" applyAlignment="1" applyFont="1">
      <alignment horizontal="right" readingOrder="0"/>
    </xf>
    <xf borderId="0" fillId="0" fontId="15" numFmtId="0" xfId="0" applyFont="1"/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Expenses!$A$61:$A$63</c:f>
            </c:strRef>
          </c:cat>
          <c:val>
            <c:numRef>
              <c:f>Expenses!$B$61:$B$63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847725</xdr:colOff>
      <xdr:row>42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16</xdr:row>
      <xdr:rowOff>161925</xdr:rowOff>
    </xdr:from>
    <xdr:ext cx="13525500" cy="5962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roduction-solution.com/coil-calculator.htm" TargetMode="External"/><Relationship Id="rId2" Type="http://schemas.openxmlformats.org/officeDocument/2006/relationships/hyperlink" Target="https://www.aliexpress.com/item/32943534376.html?spm=a2g0o.order_detail.0.0.bc2bf19cLKDtU5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ignaturesolar.com/eg4-lifepower4-lithium-battery-48v-100ah/" TargetMode="External"/><Relationship Id="rId2" Type="http://schemas.openxmlformats.org/officeDocument/2006/relationships/hyperlink" Target="https://www.alibaba.com/product-detail/Heavy-Duty-4-8x2-3x1-5M_1600386737337.html?spm=a2700.details.0.0.1b9b675fpwXlSJ" TargetMode="External"/><Relationship Id="rId3" Type="http://schemas.openxmlformats.org/officeDocument/2006/relationships/hyperlink" Target="https://www.alibaba.com/product-detail/4WD-500M-Remote-Control-Transport-72V_1600374734866.html?spm=a2700.8267363.selected.1.65a33e5fpcbqA3" TargetMode="External"/><Relationship Id="rId4" Type="http://schemas.openxmlformats.org/officeDocument/2006/relationships/hyperlink" Target="https://www.lithiumion-batteries.com/products/product/cxc1280" TargetMode="External"/><Relationship Id="rId10" Type="http://schemas.openxmlformats.org/officeDocument/2006/relationships/drawing" Target="../drawings/drawing6.xml"/><Relationship Id="rId9" Type="http://schemas.openxmlformats.org/officeDocument/2006/relationships/hyperlink" Target="https://www.autopi.io/blog/discover-hidden-functions-in-your-car-with-can-bus/" TargetMode="External"/><Relationship Id="rId5" Type="http://schemas.openxmlformats.org/officeDocument/2006/relationships/hyperlink" Target="https://www.amazon.com/Ampere-Time-Multi-Stage-Efficiency-Batteries/dp/B09SKLM5M9" TargetMode="External"/><Relationship Id="rId6" Type="http://schemas.openxmlformats.org/officeDocument/2006/relationships/hyperlink" Target="https://www.lithiumion-batteries.com/products/lithium-ion-chargers/24v-lithium-ion-battery-chargers/24v-45a-lithium-battery-charger" TargetMode="External"/><Relationship Id="rId7" Type="http://schemas.openxmlformats.org/officeDocument/2006/relationships/hyperlink" Target="https://www.amazon.com/Victron-Energy-12-Volt-Battery-Bluetooth/dp/B08NY23BKF/ref=pd_lpo_2?pd_rd_i=B08NY23BKF&amp;th=1" TargetMode="External"/><Relationship Id="rId8" Type="http://schemas.openxmlformats.org/officeDocument/2006/relationships/hyperlink" Target="https://www.lnleeparts.com/plus/view.php?aid=67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Victron-Energy-12-Volt-Battery-Bluetooth/dp/B08NY23BKF/ref=pd_lpo_2?pd_rd_i=B08NY23BKF&amp;th=1" TargetMode="External"/><Relationship Id="rId2" Type="http://schemas.openxmlformats.org/officeDocument/2006/relationships/hyperlink" Target="https://www.lithiumion-batteries.com/products/product/cxc1280" TargetMode="External"/><Relationship Id="rId3" Type="http://schemas.openxmlformats.org/officeDocument/2006/relationships/hyperlink" Target="https://www.lithiumion-batteries.com/products/product/12v-50a-lithium-ion-battery-charger" TargetMode="External"/><Relationship Id="rId4" Type="http://schemas.openxmlformats.org/officeDocument/2006/relationships/hyperlink" Target="https://www.invertersupply.com/index.php?main_page=product_info&amp;products_id=199416" TargetMode="External"/><Relationship Id="rId10" Type="http://schemas.openxmlformats.org/officeDocument/2006/relationships/drawing" Target="../drawings/drawing8.xml"/><Relationship Id="rId9" Type="http://schemas.openxmlformats.org/officeDocument/2006/relationships/hyperlink" Target="https://www.meanwell-web.com/en-gb/ac-dc-single-output-intelligent-battery-charger-pb--1000--12" TargetMode="External"/><Relationship Id="rId5" Type="http://schemas.openxmlformats.org/officeDocument/2006/relationships/hyperlink" Target="https://www.lithiumbatterypower.com/products/lithium-12v-50a-waterproof-electronic-charger" TargetMode="External"/><Relationship Id="rId6" Type="http://schemas.openxmlformats.org/officeDocument/2006/relationships/hyperlink" Target="https://battlebornbatteries.com/product/progressive-dynamics-12v-60-amp-lifepo4-battery-charger/" TargetMode="External"/><Relationship Id="rId7" Type="http://schemas.openxmlformats.org/officeDocument/2006/relationships/hyperlink" Target="https://www.amazon.com/AIMS-Power-CON120AC1224DC-Converter-Battery/dp/B07N1K43NQ/ref=psdc_15719911_t1_B07DP3X16F" TargetMode="External"/><Relationship Id="rId8" Type="http://schemas.openxmlformats.org/officeDocument/2006/relationships/hyperlink" Target="https://www.amazon.com/Maintainer-Adjustable-Lithium-Iron-Rechargeable-Desulfator/dp/B09Z25WQPY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signaturesolar.com/eg4-lifepower4-lithium-battery-12v-400ah/" TargetMode="External"/><Relationship Id="rId2" Type="http://schemas.openxmlformats.org/officeDocument/2006/relationships/hyperlink" Target="https://signaturesolar.com/eg4-lifepower4-lithium-battery-24v-200ah/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gtextrailerworld.com/inventory/?_inventory_model=10ch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uwkEjOtuLIu9VY55RpGn5CsZDk8FbqaciRUnoAfbxU/edit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l4eyx5fwijJltjDPvQtfIlXxpXC6Gi9mXyQoJXBF7g/edit?usp=sharing" TargetMode="External"/><Relationship Id="rId2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I1" s="1" t="s">
        <v>4</v>
      </c>
    </row>
    <row r="2">
      <c r="A2" s="1">
        <v>26.33</v>
      </c>
      <c r="B2" s="1">
        <v>26.33</v>
      </c>
      <c r="C2" s="1">
        <v>39.0</v>
      </c>
      <c r="D2" s="2">
        <f t="shared" ref="D2:D5" si="1">sum(A2*C2)+sum(B2*C2) * 2</f>
        <v>3080.61</v>
      </c>
      <c r="H2" s="1" t="s">
        <v>5</v>
      </c>
      <c r="I2" s="2">
        <f>C29*2</f>
        <v>7.2</v>
      </c>
    </row>
    <row r="3">
      <c r="A3" s="1">
        <v>19.833</v>
      </c>
      <c r="B3" s="1">
        <v>26.33</v>
      </c>
      <c r="C3" s="1">
        <v>6.0</v>
      </c>
      <c r="D3" s="2">
        <f t="shared" si="1"/>
        <v>434.958</v>
      </c>
      <c r="H3" s="1" t="s">
        <v>6</v>
      </c>
      <c r="I3" s="2">
        <f>I2*8</f>
        <v>57.6</v>
      </c>
    </row>
    <row r="4">
      <c r="A4" s="1">
        <v>19.833</v>
      </c>
      <c r="B4" s="1">
        <v>25.0</v>
      </c>
      <c r="C4" s="1">
        <v>4.0</v>
      </c>
      <c r="D4" s="2">
        <f t="shared" si="1"/>
        <v>279.332</v>
      </c>
    </row>
    <row r="5">
      <c r="A5" s="1">
        <v>26.33</v>
      </c>
      <c r="B5" s="1">
        <v>25.0</v>
      </c>
      <c r="C5" s="1">
        <v>13.0</v>
      </c>
      <c r="D5" s="2">
        <f t="shared" si="1"/>
        <v>992.29</v>
      </c>
    </row>
    <row r="11">
      <c r="C11" s="1" t="s">
        <v>7</v>
      </c>
      <c r="D11" s="2">
        <f>sum(D2:D5)</f>
        <v>4787.19</v>
      </c>
    </row>
    <row r="12">
      <c r="C12" s="1" t="s">
        <v>8</v>
      </c>
      <c r="D12" s="2">
        <f>D11/12</f>
        <v>398.9325</v>
      </c>
    </row>
    <row r="13">
      <c r="C13" s="1" t="s">
        <v>9</v>
      </c>
      <c r="D13" s="2">
        <f>D12/3.3</f>
        <v>120.8886364</v>
      </c>
    </row>
    <row r="14">
      <c r="C14" s="1" t="s">
        <v>10</v>
      </c>
      <c r="D14" s="2">
        <f>D13/5</f>
        <v>24.17772727</v>
      </c>
    </row>
    <row r="15">
      <c r="C15" s="1" t="s">
        <v>11</v>
      </c>
      <c r="D15" s="2">
        <f>D14*60</f>
        <v>1450.663636</v>
      </c>
    </row>
    <row r="16">
      <c r="C16" s="1" t="s">
        <v>12</v>
      </c>
      <c r="D16" s="2">
        <f>D15*0.06</f>
        <v>87.03981818</v>
      </c>
    </row>
    <row r="17">
      <c r="C17" s="1" t="s">
        <v>13</v>
      </c>
      <c r="D17" s="2">
        <f>C31*D14</f>
        <v>1140.221618</v>
      </c>
    </row>
    <row r="29">
      <c r="B29" s="1" t="s">
        <v>14</v>
      </c>
      <c r="C29" s="1">
        <v>3.6</v>
      </c>
    </row>
    <row r="30">
      <c r="B30" s="1" t="s">
        <v>15</v>
      </c>
      <c r="C30" s="1">
        <v>13.1</v>
      </c>
    </row>
    <row r="31">
      <c r="B31" s="1" t="s">
        <v>16</v>
      </c>
      <c r="C31" s="2">
        <f>C30*C29</f>
        <v>47.16</v>
      </c>
    </row>
    <row r="42">
      <c r="A42" s="1" t="s">
        <v>17</v>
      </c>
      <c r="B42" s="1"/>
    </row>
    <row r="43">
      <c r="B43" s="1">
        <v>2.85</v>
      </c>
    </row>
    <row r="44">
      <c r="A44" s="1" t="s">
        <v>18</v>
      </c>
      <c r="B44" s="1">
        <v>13.17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4.63"/>
    <col customWidth="1" min="3" max="3" width="18.38"/>
    <col customWidth="1" min="4" max="4" width="20.5"/>
    <col customWidth="1" min="5" max="5" width="19.0"/>
    <col customWidth="1" min="6" max="6" width="20.13"/>
    <col customWidth="1" min="7" max="7" width="16.75"/>
    <col customWidth="1" min="12" max="12" width="31.88"/>
  </cols>
  <sheetData>
    <row r="1">
      <c r="A1" s="3" t="s">
        <v>19</v>
      </c>
      <c r="B1" s="4" t="s">
        <v>20</v>
      </c>
      <c r="C1" s="5"/>
      <c r="D1" s="5"/>
      <c r="E1" s="5"/>
      <c r="F1" s="4">
        <v>14.4</v>
      </c>
      <c r="G1" s="4" t="s">
        <v>21</v>
      </c>
      <c r="H1" s="4">
        <v>1.2</v>
      </c>
      <c r="I1" s="4" t="s">
        <v>22</v>
      </c>
      <c r="J1" s="5"/>
      <c r="K1" s="5"/>
      <c r="L1" s="3" t="s">
        <v>23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/>
      <c r="L4" s="4"/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B5" s="6" t="s">
        <v>33</v>
      </c>
      <c r="C5" s="6" t="s">
        <v>34</v>
      </c>
      <c r="D5" s="6" t="s">
        <v>35</v>
      </c>
      <c r="E5" s="6" t="s">
        <v>36</v>
      </c>
      <c r="F5" s="6" t="s">
        <v>37</v>
      </c>
      <c r="G5" s="6" t="s">
        <v>38</v>
      </c>
      <c r="H5" s="6" t="s">
        <v>39</v>
      </c>
      <c r="I5" s="6" t="s">
        <v>40</v>
      </c>
      <c r="J5" s="6" t="s">
        <v>41</v>
      </c>
      <c r="K5" s="4"/>
      <c r="L5" s="4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B6" s="4">
        <v>40.0</v>
      </c>
      <c r="C6" s="4">
        <v>61.0</v>
      </c>
      <c r="D6" s="4">
        <v>2438.4</v>
      </c>
      <c r="E6" s="4">
        <v>101.6</v>
      </c>
      <c r="F6" s="4">
        <v>27.141</v>
      </c>
      <c r="G6" s="5">
        <f t="shared" ref="G6:G8" si="1">F6*4</f>
        <v>108.564</v>
      </c>
      <c r="H6" s="5">
        <f t="shared" ref="H6:H8" si="2">G6*60</f>
        <v>6513.84</v>
      </c>
      <c r="I6" s="5">
        <f t="shared" ref="I6:I8" si="3">G6 * 1.2</f>
        <v>130.2768</v>
      </c>
      <c r="J6" s="5">
        <f t="shared" ref="J6:J8" si="4">G6*14.4</f>
        <v>1563.3216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4">
        <v>80.0</v>
      </c>
      <c r="C7" s="4">
        <v>30.0</v>
      </c>
      <c r="D7" s="4">
        <v>2438.4</v>
      </c>
      <c r="E7" s="4">
        <v>101.6</v>
      </c>
      <c r="F7" s="4">
        <v>16.997</v>
      </c>
      <c r="G7" s="5">
        <f t="shared" si="1"/>
        <v>67.988</v>
      </c>
      <c r="H7" s="5">
        <f t="shared" si="2"/>
        <v>4079.28</v>
      </c>
      <c r="I7" s="5">
        <f t="shared" si="3"/>
        <v>81.5856</v>
      </c>
      <c r="J7" s="5">
        <f t="shared" si="4"/>
        <v>979.0272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4">
        <v>100.0</v>
      </c>
      <c r="C8" s="4">
        <v>25.0</v>
      </c>
      <c r="D8" s="4">
        <v>2438.4</v>
      </c>
      <c r="E8" s="4">
        <v>101.6</v>
      </c>
      <c r="F8" s="4">
        <v>16.0</v>
      </c>
      <c r="G8" s="5">
        <f t="shared" si="1"/>
        <v>64</v>
      </c>
      <c r="H8" s="5">
        <f t="shared" si="2"/>
        <v>3840</v>
      </c>
      <c r="I8" s="5">
        <f t="shared" si="3"/>
        <v>76.8</v>
      </c>
      <c r="J8" s="5">
        <f t="shared" si="4"/>
        <v>921.6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:id="rId1" ref="A1"/>
    <hyperlink r:id="rId2" ref="L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</v>
      </c>
    </row>
    <row r="2">
      <c r="B2" s="1" t="s">
        <v>0</v>
      </c>
      <c r="C2" s="1" t="s">
        <v>1</v>
      </c>
      <c r="D2" s="1" t="s">
        <v>2</v>
      </c>
    </row>
    <row r="3">
      <c r="A3" s="1" t="s">
        <v>43</v>
      </c>
      <c r="B3" s="1">
        <v>39.0</v>
      </c>
      <c r="C3" s="1">
        <v>102.5</v>
      </c>
      <c r="D3" s="1">
        <v>8.0</v>
      </c>
    </row>
    <row r="4">
      <c r="A4" s="1" t="s">
        <v>44</v>
      </c>
      <c r="B4" s="1">
        <v>37.5</v>
      </c>
      <c r="C4" s="1">
        <v>102.5</v>
      </c>
      <c r="D4" s="1">
        <v>2.0</v>
      </c>
    </row>
    <row r="9">
      <c r="A9" s="1" t="s">
        <v>45</v>
      </c>
      <c r="B9" s="1">
        <v>48.0</v>
      </c>
      <c r="C9" s="1">
        <v>96.0</v>
      </c>
      <c r="D9" s="1">
        <v>10.0</v>
      </c>
    </row>
    <row r="15">
      <c r="A15" s="1" t="s">
        <v>46</v>
      </c>
      <c r="B15" s="2">
        <f>D9*14</f>
        <v>140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  <c r="B1" s="1" t="s">
        <v>48</v>
      </c>
      <c r="C1" s="1" t="s">
        <v>49</v>
      </c>
    </row>
    <row r="2">
      <c r="A2" s="1" t="s">
        <v>50</v>
      </c>
      <c r="B2" s="7" t="s">
        <v>51</v>
      </c>
    </row>
    <row r="3">
      <c r="A3" s="1" t="s">
        <v>52</v>
      </c>
      <c r="B3" s="1" t="s">
        <v>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75"/>
  </cols>
  <sheetData>
    <row r="1">
      <c r="A1" s="4" t="s">
        <v>54</v>
      </c>
      <c r="B1" s="4" t="s">
        <v>55</v>
      </c>
      <c r="C1" s="4" t="s">
        <v>56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 t="s">
        <v>57</v>
      </c>
      <c r="B2" s="4" t="s">
        <v>58</v>
      </c>
      <c r="C2" s="4" t="s">
        <v>59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60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 t="s">
        <v>61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 t="s">
        <v>62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13"/>
  </cols>
  <sheetData>
    <row r="1">
      <c r="A1" s="1" t="s">
        <v>47</v>
      </c>
      <c r="B1" s="1" t="s">
        <v>63</v>
      </c>
      <c r="C1" s="1" t="s">
        <v>46</v>
      </c>
      <c r="D1" s="1" t="s">
        <v>64</v>
      </c>
      <c r="E1" s="1" t="s">
        <v>65</v>
      </c>
    </row>
    <row r="2">
      <c r="A2" s="1" t="s">
        <v>66</v>
      </c>
      <c r="B2" s="8" t="s">
        <v>67</v>
      </c>
      <c r="C2" s="9">
        <v>1500.0</v>
      </c>
      <c r="D2" s="1">
        <v>4.0</v>
      </c>
      <c r="E2" s="10">
        <f>C2*D2</f>
        <v>6000</v>
      </c>
    </row>
    <row r="3">
      <c r="J3" s="11"/>
    </row>
    <row r="4">
      <c r="A4" s="1" t="s">
        <v>68</v>
      </c>
      <c r="B4" s="12" t="s">
        <v>69</v>
      </c>
      <c r="C4" s="1">
        <v>2500.0</v>
      </c>
      <c r="D4" s="1">
        <v>1.0</v>
      </c>
      <c r="E4" s="1">
        <v>2500.0</v>
      </c>
    </row>
    <row r="5">
      <c r="A5" s="1" t="s">
        <v>70</v>
      </c>
      <c r="B5" s="12" t="s">
        <v>71</v>
      </c>
      <c r="C5" s="1">
        <v>6500.0</v>
      </c>
      <c r="D5" s="1">
        <v>1.0</v>
      </c>
      <c r="E5" s="1">
        <v>6500.0</v>
      </c>
    </row>
    <row r="8">
      <c r="A8" s="1" t="s">
        <v>72</v>
      </c>
      <c r="B8" s="12" t="s">
        <v>73</v>
      </c>
    </row>
    <row r="9">
      <c r="A9" s="1" t="s">
        <v>74</v>
      </c>
      <c r="B9" s="8" t="s">
        <v>75</v>
      </c>
    </row>
    <row r="10">
      <c r="A10" s="1" t="s">
        <v>76</v>
      </c>
      <c r="B10" s="8" t="s">
        <v>77</v>
      </c>
    </row>
    <row r="11">
      <c r="A11" s="1" t="s">
        <v>78</v>
      </c>
      <c r="B11" s="8" t="s">
        <v>79</v>
      </c>
    </row>
    <row r="13">
      <c r="A13" s="1" t="s">
        <v>80</v>
      </c>
      <c r="B13" s="8" t="s">
        <v>81</v>
      </c>
    </row>
    <row r="16">
      <c r="A16" s="1" t="s">
        <v>82</v>
      </c>
      <c r="B16" s="12" t="s">
        <v>83</v>
      </c>
    </row>
    <row r="19">
      <c r="A19" s="13" t="s">
        <v>84</v>
      </c>
      <c r="B19" s="1" t="s">
        <v>85</v>
      </c>
    </row>
  </sheetData>
  <hyperlinks>
    <hyperlink r:id="rId1" ref="B2"/>
    <hyperlink r:id="rId2" ref="B4"/>
    <hyperlink r:id="rId3" ref="B5"/>
    <hyperlink r:id="rId4" ref="B8"/>
    <hyperlink r:id="rId5" ref="B9"/>
    <hyperlink r:id="rId6" ref="B10"/>
    <hyperlink r:id="rId7" ref="B11"/>
    <hyperlink r:id="rId8" ref="B13"/>
    <hyperlink r:id="rId9" ref="B16"/>
  </hyperlinks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</v>
      </c>
      <c r="B1" s="1" t="s">
        <v>87</v>
      </c>
    </row>
    <row r="2">
      <c r="A2" s="1" t="s">
        <v>88</v>
      </c>
      <c r="B2" s="1" t="s">
        <v>89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19.63"/>
    <col customWidth="1" min="4" max="4" width="32.88"/>
    <col customWidth="1" min="5" max="5" width="23.5"/>
    <col customWidth="1" min="11" max="11" width="16.63"/>
  </cols>
  <sheetData>
    <row r="1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4" t="s">
        <v>49</v>
      </c>
      <c r="L1" s="1" t="s">
        <v>63</v>
      </c>
    </row>
    <row r="2">
      <c r="A2" s="1">
        <v>12.0</v>
      </c>
      <c r="B2" s="1">
        <v>30.0</v>
      </c>
      <c r="C2" s="1">
        <v>500.0</v>
      </c>
      <c r="D2" s="1">
        <f t="shared" ref="D2:D11" si="1">C2/B2</f>
        <v>16.66666667</v>
      </c>
      <c r="E2" s="1">
        <f t="shared" ref="E2:E11" si="2">C2*6</f>
        <v>3000</v>
      </c>
      <c r="F2" s="9">
        <v>200.0</v>
      </c>
      <c r="G2" s="10">
        <f t="shared" ref="G2:G11" si="3">F2*6</f>
        <v>1200</v>
      </c>
      <c r="H2" s="1" t="s">
        <v>100</v>
      </c>
      <c r="I2" s="1" t="s">
        <v>101</v>
      </c>
      <c r="J2" s="1" t="s">
        <v>102</v>
      </c>
      <c r="K2" s="4"/>
      <c r="L2" s="12" t="s">
        <v>79</v>
      </c>
    </row>
    <row r="3">
      <c r="A3" s="1">
        <v>12.0</v>
      </c>
      <c r="B3" s="1">
        <v>80.0</v>
      </c>
      <c r="C3" s="1">
        <v>1500.0</v>
      </c>
      <c r="D3" s="1">
        <f t="shared" si="1"/>
        <v>18.75</v>
      </c>
      <c r="E3" s="2">
        <f t="shared" si="2"/>
        <v>9000</v>
      </c>
      <c r="F3" s="9">
        <v>850.0</v>
      </c>
      <c r="G3" s="10">
        <f t="shared" si="3"/>
        <v>5100</v>
      </c>
      <c r="H3" s="1" t="s">
        <v>103</v>
      </c>
      <c r="I3" s="1" t="s">
        <v>102</v>
      </c>
      <c r="J3" s="1" t="s">
        <v>101</v>
      </c>
      <c r="K3" s="4"/>
      <c r="L3" s="12" t="s">
        <v>73</v>
      </c>
    </row>
    <row r="4">
      <c r="A4" s="1">
        <v>12.0</v>
      </c>
      <c r="B4" s="1">
        <v>50.0</v>
      </c>
      <c r="C4" s="1">
        <v>1200.0</v>
      </c>
      <c r="D4" s="1">
        <f t="shared" si="1"/>
        <v>24</v>
      </c>
      <c r="E4" s="2">
        <f t="shared" si="2"/>
        <v>7200</v>
      </c>
      <c r="F4" s="9">
        <v>700.0</v>
      </c>
      <c r="G4" s="10">
        <f t="shared" si="3"/>
        <v>4200</v>
      </c>
      <c r="H4" s="1" t="s">
        <v>104</v>
      </c>
      <c r="I4" s="1" t="s">
        <v>102</v>
      </c>
      <c r="J4" s="1" t="s">
        <v>101</v>
      </c>
      <c r="K4" s="4"/>
      <c r="L4" s="12" t="s">
        <v>105</v>
      </c>
    </row>
    <row r="5">
      <c r="A5" s="1">
        <v>12.0</v>
      </c>
      <c r="B5" s="1">
        <v>70.0</v>
      </c>
      <c r="C5" s="1">
        <v>1200.0</v>
      </c>
      <c r="D5" s="1">
        <f t="shared" si="1"/>
        <v>17.14285714</v>
      </c>
      <c r="E5" s="2">
        <f t="shared" si="2"/>
        <v>7200</v>
      </c>
      <c r="F5" s="9">
        <v>800.0</v>
      </c>
      <c r="G5" s="10">
        <f t="shared" si="3"/>
        <v>4800</v>
      </c>
      <c r="H5" s="1" t="s">
        <v>106</v>
      </c>
      <c r="I5" s="1" t="s">
        <v>102</v>
      </c>
      <c r="J5" s="1" t="s">
        <v>102</v>
      </c>
      <c r="K5" s="14"/>
      <c r="L5" s="8" t="s">
        <v>107</v>
      </c>
    </row>
    <row r="6">
      <c r="A6" s="1">
        <v>12.0</v>
      </c>
      <c r="B6" s="1">
        <v>50.0</v>
      </c>
      <c r="C6" s="1" t="s">
        <v>108</v>
      </c>
      <c r="D6" s="1" t="str">
        <f t="shared" si="1"/>
        <v>#VALUE!</v>
      </c>
      <c r="E6" s="2" t="str">
        <f t="shared" si="2"/>
        <v>#VALUE!</v>
      </c>
      <c r="F6" s="9">
        <v>455.0</v>
      </c>
      <c r="G6" s="10">
        <f t="shared" si="3"/>
        <v>2730</v>
      </c>
      <c r="H6" s="1" t="s">
        <v>104</v>
      </c>
      <c r="I6" s="1"/>
      <c r="J6" s="1"/>
      <c r="K6" s="4"/>
      <c r="L6" s="12" t="s">
        <v>109</v>
      </c>
    </row>
    <row r="7">
      <c r="A7" s="1">
        <v>12.0</v>
      </c>
      <c r="B7" s="1">
        <v>60.0</v>
      </c>
      <c r="C7" s="1">
        <v>1000.0</v>
      </c>
      <c r="D7" s="1">
        <f t="shared" si="1"/>
        <v>16.66666667</v>
      </c>
      <c r="E7" s="2">
        <f t="shared" si="2"/>
        <v>6000</v>
      </c>
      <c r="F7" s="9">
        <v>268.0</v>
      </c>
      <c r="G7" s="10">
        <f t="shared" si="3"/>
        <v>1608</v>
      </c>
      <c r="H7" s="1" t="s">
        <v>110</v>
      </c>
      <c r="I7" s="1" t="s">
        <v>101</v>
      </c>
      <c r="J7" s="1" t="s">
        <v>101</v>
      </c>
      <c r="K7" s="4"/>
      <c r="L7" s="12" t="s">
        <v>111</v>
      </c>
    </row>
    <row r="8">
      <c r="A8" s="1">
        <v>12.0</v>
      </c>
      <c r="B8" s="1">
        <v>75.0</v>
      </c>
      <c r="C8" s="1">
        <v>1200.0</v>
      </c>
      <c r="D8" s="1">
        <f t="shared" si="1"/>
        <v>16</v>
      </c>
      <c r="E8" s="2">
        <f t="shared" si="2"/>
        <v>7200</v>
      </c>
      <c r="F8" s="9">
        <v>264.0</v>
      </c>
      <c r="G8" s="10">
        <f t="shared" si="3"/>
        <v>1584</v>
      </c>
      <c r="H8" s="1" t="s">
        <v>112</v>
      </c>
      <c r="I8" s="1" t="s">
        <v>101</v>
      </c>
      <c r="J8" s="1" t="s">
        <v>102</v>
      </c>
      <c r="K8" s="4"/>
      <c r="L8" s="12" t="s">
        <v>113</v>
      </c>
    </row>
    <row r="9">
      <c r="A9" s="1">
        <v>12.0</v>
      </c>
      <c r="B9" s="1">
        <v>60.0</v>
      </c>
      <c r="C9" s="1" t="s">
        <v>108</v>
      </c>
      <c r="D9" s="1" t="str">
        <f t="shared" si="1"/>
        <v>#VALUE!</v>
      </c>
      <c r="E9" s="2" t="str">
        <f t="shared" si="2"/>
        <v>#VALUE!</v>
      </c>
      <c r="F9" s="9">
        <v>152.0</v>
      </c>
      <c r="G9" s="10">
        <f t="shared" si="3"/>
        <v>912</v>
      </c>
      <c r="H9" s="1" t="s">
        <v>110</v>
      </c>
      <c r="I9" s="1" t="s">
        <v>102</v>
      </c>
      <c r="J9" s="1" t="s">
        <v>102</v>
      </c>
      <c r="K9" s="4" t="s">
        <v>114</v>
      </c>
      <c r="L9" s="12" t="s">
        <v>115</v>
      </c>
    </row>
    <row r="10">
      <c r="A10" s="1">
        <v>12.0</v>
      </c>
      <c r="B10" s="1">
        <v>50.0</v>
      </c>
      <c r="C10" s="2">
        <f>120 * 15 / 2</f>
        <v>900</v>
      </c>
      <c r="D10" s="1">
        <f t="shared" si="1"/>
        <v>18</v>
      </c>
      <c r="E10" s="2">
        <f t="shared" si="2"/>
        <v>5400</v>
      </c>
      <c r="F10" s="10">
        <f>1087.15/2</f>
        <v>543.575</v>
      </c>
      <c r="G10" s="10">
        <f t="shared" si="3"/>
        <v>3261.45</v>
      </c>
      <c r="H10" s="1" t="s">
        <v>104</v>
      </c>
      <c r="I10" s="1" t="s">
        <v>102</v>
      </c>
      <c r="K10" s="4" t="s">
        <v>116</v>
      </c>
      <c r="L10" s="1" t="s">
        <v>117</v>
      </c>
    </row>
    <row r="11">
      <c r="A11" s="1">
        <v>12.0</v>
      </c>
      <c r="B11" s="1">
        <v>60.0</v>
      </c>
      <c r="C11" s="15">
        <v>1380.0</v>
      </c>
      <c r="D11" s="1">
        <f t="shared" si="1"/>
        <v>23</v>
      </c>
      <c r="E11" s="2">
        <f t="shared" si="2"/>
        <v>8280</v>
      </c>
      <c r="F11" s="9">
        <v>436.0</v>
      </c>
      <c r="G11" s="10">
        <f t="shared" si="3"/>
        <v>2616</v>
      </c>
      <c r="H11" s="1" t="s">
        <v>110</v>
      </c>
      <c r="I11" s="1" t="s">
        <v>102</v>
      </c>
      <c r="J11" s="1" t="s">
        <v>101</v>
      </c>
      <c r="K11" s="5"/>
      <c r="L11" s="12" t="s">
        <v>118</v>
      </c>
    </row>
    <row r="12">
      <c r="F12" s="10"/>
      <c r="K12" s="5"/>
    </row>
    <row r="13">
      <c r="F13" s="10"/>
      <c r="K13" s="5"/>
    </row>
    <row r="14">
      <c r="F14" s="10"/>
      <c r="K14" s="5"/>
    </row>
    <row r="15">
      <c r="F15" s="10"/>
      <c r="K15" s="5"/>
    </row>
    <row r="16">
      <c r="F16" s="10"/>
      <c r="K16" s="5"/>
    </row>
    <row r="17">
      <c r="F17" s="10"/>
      <c r="K17" s="5"/>
    </row>
    <row r="18">
      <c r="F18" s="10"/>
      <c r="K18" s="5"/>
    </row>
    <row r="19">
      <c r="F19" s="10"/>
      <c r="K19" s="5"/>
    </row>
    <row r="20">
      <c r="F20" s="10"/>
      <c r="K20" s="5"/>
    </row>
    <row r="21">
      <c r="F21" s="10"/>
      <c r="K21" s="5"/>
    </row>
    <row r="22">
      <c r="F22" s="10"/>
      <c r="K22" s="5"/>
    </row>
    <row r="23">
      <c r="F23" s="10"/>
      <c r="K23" s="5"/>
    </row>
    <row r="24">
      <c r="F24" s="10"/>
      <c r="K24" s="5"/>
    </row>
    <row r="25">
      <c r="F25" s="10"/>
      <c r="K25" s="5"/>
    </row>
    <row r="26">
      <c r="F26" s="10"/>
      <c r="K26" s="5"/>
    </row>
    <row r="27">
      <c r="F27" s="10"/>
      <c r="K27" s="5"/>
    </row>
    <row r="28">
      <c r="F28" s="10"/>
      <c r="K28" s="5"/>
    </row>
    <row r="29">
      <c r="F29" s="10"/>
      <c r="K29" s="5"/>
    </row>
    <row r="30">
      <c r="K30" s="5"/>
    </row>
    <row r="31">
      <c r="K31" s="5"/>
    </row>
    <row r="32">
      <c r="K32" s="5"/>
    </row>
    <row r="33">
      <c r="K33" s="5"/>
    </row>
    <row r="34">
      <c r="K34" s="5"/>
    </row>
    <row r="35">
      <c r="K35" s="5"/>
    </row>
    <row r="36">
      <c r="K36" s="5"/>
    </row>
    <row r="37">
      <c r="K37" s="5"/>
    </row>
    <row r="38">
      <c r="K38" s="5"/>
    </row>
    <row r="39">
      <c r="K39" s="5"/>
    </row>
    <row r="40">
      <c r="K40" s="5"/>
    </row>
    <row r="41">
      <c r="K41" s="5"/>
    </row>
    <row r="42">
      <c r="K42" s="5"/>
    </row>
    <row r="43">
      <c r="K43" s="5"/>
    </row>
    <row r="44">
      <c r="K44" s="5"/>
    </row>
    <row r="45">
      <c r="K45" s="5"/>
    </row>
    <row r="46">
      <c r="K46" s="5"/>
    </row>
    <row r="47">
      <c r="K47" s="5"/>
    </row>
    <row r="48">
      <c r="K48" s="5"/>
    </row>
    <row r="49">
      <c r="K49" s="5"/>
    </row>
    <row r="50">
      <c r="K50" s="5"/>
    </row>
    <row r="51">
      <c r="K51" s="5"/>
    </row>
    <row r="52">
      <c r="K52" s="5"/>
    </row>
    <row r="53">
      <c r="K53" s="5"/>
    </row>
    <row r="54">
      <c r="K54" s="5"/>
    </row>
    <row r="55">
      <c r="K55" s="5"/>
    </row>
    <row r="56">
      <c r="K56" s="5"/>
    </row>
    <row r="57">
      <c r="K57" s="5"/>
    </row>
    <row r="58">
      <c r="K58" s="5"/>
    </row>
    <row r="59">
      <c r="K59" s="5"/>
    </row>
    <row r="60">
      <c r="K60" s="5"/>
    </row>
    <row r="61">
      <c r="K61" s="5"/>
    </row>
    <row r="62">
      <c r="K62" s="5"/>
    </row>
    <row r="63">
      <c r="K63" s="5"/>
    </row>
    <row r="64">
      <c r="K64" s="5"/>
    </row>
    <row r="65">
      <c r="K65" s="5"/>
    </row>
    <row r="66">
      <c r="K66" s="5"/>
    </row>
    <row r="67">
      <c r="K67" s="5"/>
    </row>
    <row r="68">
      <c r="K68" s="5"/>
    </row>
    <row r="69">
      <c r="K69" s="5"/>
    </row>
    <row r="70">
      <c r="K70" s="5"/>
    </row>
    <row r="71">
      <c r="K71" s="5"/>
    </row>
    <row r="72">
      <c r="K72" s="5"/>
    </row>
    <row r="73">
      <c r="K73" s="5"/>
    </row>
    <row r="74">
      <c r="K74" s="5"/>
    </row>
    <row r="75">
      <c r="K75" s="5"/>
    </row>
    <row r="76">
      <c r="K76" s="5"/>
    </row>
    <row r="77">
      <c r="K77" s="5"/>
    </row>
    <row r="78">
      <c r="K78" s="5"/>
    </row>
    <row r="79">
      <c r="K79" s="5"/>
    </row>
    <row r="80">
      <c r="K80" s="5"/>
    </row>
    <row r="81">
      <c r="K81" s="5"/>
    </row>
    <row r="82">
      <c r="K82" s="5"/>
    </row>
    <row r="83">
      <c r="K83" s="5"/>
    </row>
    <row r="84">
      <c r="K84" s="5"/>
    </row>
    <row r="85">
      <c r="K85" s="5"/>
    </row>
    <row r="86">
      <c r="K86" s="5"/>
    </row>
    <row r="87">
      <c r="K87" s="5"/>
    </row>
    <row r="88">
      <c r="K88" s="5"/>
    </row>
    <row r="89">
      <c r="K89" s="5"/>
    </row>
    <row r="90">
      <c r="K90" s="5"/>
    </row>
    <row r="91">
      <c r="K91" s="5"/>
    </row>
    <row r="92">
      <c r="K92" s="5"/>
    </row>
    <row r="93">
      <c r="K93" s="5"/>
    </row>
    <row r="94">
      <c r="K94" s="5"/>
    </row>
    <row r="95">
      <c r="K95" s="5"/>
    </row>
    <row r="96">
      <c r="K96" s="5"/>
    </row>
    <row r="97">
      <c r="K97" s="5"/>
    </row>
    <row r="98">
      <c r="K98" s="5"/>
    </row>
    <row r="99">
      <c r="K99" s="5"/>
    </row>
    <row r="100">
      <c r="K100" s="5"/>
    </row>
    <row r="101">
      <c r="K101" s="5"/>
    </row>
    <row r="102">
      <c r="K102" s="5"/>
    </row>
    <row r="103">
      <c r="K103" s="5"/>
    </row>
    <row r="104">
      <c r="K104" s="5"/>
    </row>
    <row r="105">
      <c r="K105" s="5"/>
    </row>
    <row r="106">
      <c r="K106" s="5"/>
    </row>
    <row r="107">
      <c r="K107" s="5"/>
    </row>
    <row r="108">
      <c r="K108" s="5"/>
    </row>
    <row r="109">
      <c r="K109" s="5"/>
    </row>
    <row r="110">
      <c r="K110" s="5"/>
    </row>
    <row r="111">
      <c r="K111" s="5"/>
    </row>
    <row r="112">
      <c r="K112" s="5"/>
    </row>
    <row r="113">
      <c r="K113" s="5"/>
    </row>
    <row r="114">
      <c r="K114" s="5"/>
    </row>
    <row r="115">
      <c r="K115" s="5"/>
    </row>
    <row r="116">
      <c r="K116" s="5"/>
    </row>
    <row r="117">
      <c r="K117" s="5"/>
    </row>
    <row r="118">
      <c r="K118" s="5"/>
    </row>
    <row r="119">
      <c r="K119" s="5"/>
    </row>
    <row r="120">
      <c r="K120" s="5"/>
    </row>
    <row r="121">
      <c r="K121" s="5"/>
    </row>
    <row r="122">
      <c r="K122" s="5"/>
    </row>
    <row r="123">
      <c r="K123" s="5"/>
    </row>
    <row r="124">
      <c r="K124" s="5"/>
    </row>
    <row r="125">
      <c r="K125" s="5"/>
    </row>
    <row r="126">
      <c r="K126" s="5"/>
    </row>
    <row r="127">
      <c r="K127" s="5"/>
    </row>
    <row r="128">
      <c r="K128" s="5"/>
    </row>
    <row r="129">
      <c r="K129" s="5"/>
    </row>
    <row r="130">
      <c r="K130" s="5"/>
    </row>
    <row r="131">
      <c r="K131" s="5"/>
    </row>
    <row r="132">
      <c r="K132" s="5"/>
    </row>
    <row r="133">
      <c r="K133" s="5"/>
    </row>
    <row r="134">
      <c r="K134" s="5"/>
    </row>
    <row r="135">
      <c r="K135" s="5"/>
    </row>
    <row r="136">
      <c r="K136" s="5"/>
    </row>
    <row r="137">
      <c r="K137" s="5"/>
    </row>
    <row r="138">
      <c r="K138" s="5"/>
    </row>
    <row r="139">
      <c r="K139" s="5"/>
    </row>
    <row r="140">
      <c r="K140" s="5"/>
    </row>
    <row r="141">
      <c r="K141" s="5"/>
    </row>
    <row r="142">
      <c r="K142" s="5"/>
    </row>
    <row r="143">
      <c r="K143" s="5"/>
    </row>
    <row r="144">
      <c r="K144" s="5"/>
    </row>
    <row r="145">
      <c r="K145" s="5"/>
    </row>
    <row r="146">
      <c r="K146" s="5"/>
    </row>
    <row r="147">
      <c r="K147" s="5"/>
    </row>
    <row r="148">
      <c r="K148" s="5"/>
    </row>
    <row r="149">
      <c r="K149" s="5"/>
    </row>
    <row r="150">
      <c r="K150" s="5"/>
    </row>
    <row r="151">
      <c r="K151" s="5"/>
    </row>
    <row r="152">
      <c r="K152" s="5"/>
    </row>
    <row r="153">
      <c r="K153" s="5"/>
    </row>
    <row r="154">
      <c r="K154" s="5"/>
    </row>
    <row r="155">
      <c r="K155" s="5"/>
    </row>
    <row r="156">
      <c r="K156" s="5"/>
    </row>
    <row r="157">
      <c r="K157" s="5"/>
    </row>
    <row r="158">
      <c r="K158" s="5"/>
    </row>
    <row r="159">
      <c r="K159" s="5"/>
    </row>
    <row r="160">
      <c r="K160" s="5"/>
    </row>
    <row r="161">
      <c r="K161" s="5"/>
    </row>
    <row r="162">
      <c r="K162" s="5"/>
    </row>
    <row r="163">
      <c r="K163" s="5"/>
    </row>
    <row r="164">
      <c r="K164" s="5"/>
    </row>
    <row r="165">
      <c r="K165" s="5"/>
    </row>
    <row r="166">
      <c r="K166" s="5"/>
    </row>
    <row r="167">
      <c r="K167" s="5"/>
    </row>
    <row r="168">
      <c r="K168" s="5"/>
    </row>
    <row r="169">
      <c r="K169" s="5"/>
    </row>
    <row r="170">
      <c r="K170" s="5"/>
    </row>
    <row r="171">
      <c r="K171" s="5"/>
    </row>
    <row r="172">
      <c r="K172" s="5"/>
    </row>
    <row r="173">
      <c r="K173" s="5"/>
    </row>
    <row r="174">
      <c r="K174" s="5"/>
    </row>
    <row r="175">
      <c r="K175" s="5"/>
    </row>
    <row r="176">
      <c r="K176" s="5"/>
    </row>
    <row r="177">
      <c r="K177" s="5"/>
    </row>
    <row r="178">
      <c r="K178" s="5"/>
    </row>
    <row r="179">
      <c r="K179" s="5"/>
    </row>
    <row r="180">
      <c r="K180" s="5"/>
    </row>
    <row r="181">
      <c r="K181" s="5"/>
    </row>
    <row r="182">
      <c r="K182" s="5"/>
    </row>
    <row r="183">
      <c r="K183" s="5"/>
    </row>
    <row r="184">
      <c r="K184" s="5"/>
    </row>
    <row r="185">
      <c r="K185" s="5"/>
    </row>
    <row r="186">
      <c r="K186" s="5"/>
    </row>
    <row r="187">
      <c r="K187" s="5"/>
    </row>
    <row r="188">
      <c r="K188" s="5"/>
    </row>
    <row r="189">
      <c r="K189" s="5"/>
    </row>
    <row r="190">
      <c r="K190" s="5"/>
    </row>
    <row r="191">
      <c r="K191" s="5"/>
    </row>
    <row r="192">
      <c r="K192" s="5"/>
    </row>
    <row r="193">
      <c r="K193" s="5"/>
    </row>
    <row r="194">
      <c r="K194" s="5"/>
    </row>
    <row r="195">
      <c r="K195" s="5"/>
    </row>
    <row r="196">
      <c r="K196" s="5"/>
    </row>
    <row r="197">
      <c r="K197" s="5"/>
    </row>
    <row r="198">
      <c r="K198" s="5"/>
    </row>
    <row r="199">
      <c r="K199" s="5"/>
    </row>
    <row r="200">
      <c r="K200" s="5"/>
    </row>
    <row r="201">
      <c r="K201" s="5"/>
    </row>
    <row r="202">
      <c r="K202" s="5"/>
    </row>
    <row r="203">
      <c r="K203" s="5"/>
    </row>
    <row r="204">
      <c r="K204" s="5"/>
    </row>
    <row r="205">
      <c r="K205" s="5"/>
    </row>
    <row r="206">
      <c r="K206" s="5"/>
    </row>
    <row r="207">
      <c r="K207" s="5"/>
    </row>
    <row r="208">
      <c r="K208" s="5"/>
    </row>
    <row r="209">
      <c r="K209" s="5"/>
    </row>
    <row r="210">
      <c r="K210" s="5"/>
    </row>
    <row r="211">
      <c r="K211" s="5"/>
    </row>
    <row r="212">
      <c r="K212" s="5"/>
    </row>
    <row r="213">
      <c r="K213" s="5"/>
    </row>
    <row r="214">
      <c r="K214" s="5"/>
    </row>
    <row r="215">
      <c r="K215" s="5"/>
    </row>
    <row r="216">
      <c r="K216" s="5"/>
    </row>
    <row r="217">
      <c r="K217" s="5"/>
    </row>
    <row r="218">
      <c r="K218" s="5"/>
    </row>
    <row r="219">
      <c r="K219" s="5"/>
    </row>
    <row r="220">
      <c r="K220" s="5"/>
    </row>
    <row r="221">
      <c r="K221" s="5"/>
    </row>
    <row r="222">
      <c r="K222" s="5"/>
    </row>
    <row r="223">
      <c r="K223" s="5"/>
    </row>
    <row r="224">
      <c r="K224" s="5"/>
    </row>
    <row r="225">
      <c r="K225" s="5"/>
    </row>
    <row r="226">
      <c r="K226" s="5"/>
    </row>
    <row r="227">
      <c r="K227" s="5"/>
    </row>
    <row r="228">
      <c r="K228" s="5"/>
    </row>
    <row r="229">
      <c r="K229" s="5"/>
    </row>
    <row r="230">
      <c r="K230" s="5"/>
    </row>
    <row r="231">
      <c r="K231" s="5"/>
    </row>
    <row r="232">
      <c r="K232" s="5"/>
    </row>
    <row r="233">
      <c r="K233" s="5"/>
    </row>
    <row r="234">
      <c r="K234" s="5"/>
    </row>
    <row r="235">
      <c r="K235" s="5"/>
    </row>
    <row r="236">
      <c r="K236" s="5"/>
    </row>
    <row r="237">
      <c r="K237" s="5"/>
    </row>
    <row r="238">
      <c r="K238" s="5"/>
    </row>
    <row r="239">
      <c r="K239" s="5"/>
    </row>
    <row r="240">
      <c r="K240" s="5"/>
    </row>
    <row r="241">
      <c r="K241" s="5"/>
    </row>
    <row r="242">
      <c r="K242" s="5"/>
    </row>
    <row r="243">
      <c r="K243" s="5"/>
    </row>
    <row r="244">
      <c r="K244" s="5"/>
    </row>
    <row r="245">
      <c r="K245" s="5"/>
    </row>
    <row r="246">
      <c r="K246" s="5"/>
    </row>
    <row r="247">
      <c r="K247" s="5"/>
    </row>
    <row r="248">
      <c r="K248" s="5"/>
    </row>
    <row r="249">
      <c r="K249" s="5"/>
    </row>
    <row r="250">
      <c r="K250" s="5"/>
    </row>
    <row r="251">
      <c r="K251" s="5"/>
    </row>
    <row r="252">
      <c r="K252" s="5"/>
    </row>
    <row r="253">
      <c r="K253" s="5"/>
    </row>
    <row r="254">
      <c r="K254" s="5"/>
    </row>
    <row r="255">
      <c r="K255" s="5"/>
    </row>
    <row r="256">
      <c r="K256" s="5"/>
    </row>
    <row r="257">
      <c r="K257" s="5"/>
    </row>
    <row r="258">
      <c r="K258" s="5"/>
    </row>
    <row r="259">
      <c r="K259" s="5"/>
    </row>
    <row r="260">
      <c r="K260" s="5"/>
    </row>
    <row r="261">
      <c r="K261" s="5"/>
    </row>
    <row r="262">
      <c r="K262" s="5"/>
    </row>
    <row r="263">
      <c r="K263" s="5"/>
    </row>
    <row r="264">
      <c r="K264" s="5"/>
    </row>
    <row r="265">
      <c r="K265" s="5"/>
    </row>
    <row r="266">
      <c r="K266" s="5"/>
    </row>
    <row r="267">
      <c r="K267" s="5"/>
    </row>
    <row r="268">
      <c r="K268" s="5"/>
    </row>
    <row r="269">
      <c r="K269" s="5"/>
    </row>
    <row r="270">
      <c r="K270" s="5"/>
    </row>
    <row r="271">
      <c r="K271" s="5"/>
    </row>
    <row r="272">
      <c r="K272" s="5"/>
    </row>
    <row r="273">
      <c r="K273" s="5"/>
    </row>
    <row r="274">
      <c r="K274" s="5"/>
    </row>
    <row r="275">
      <c r="K275" s="5"/>
    </row>
    <row r="276">
      <c r="K276" s="5"/>
    </row>
    <row r="277">
      <c r="K277" s="5"/>
    </row>
    <row r="278">
      <c r="K278" s="5"/>
    </row>
    <row r="279">
      <c r="K279" s="5"/>
    </row>
    <row r="280">
      <c r="K280" s="5"/>
    </row>
    <row r="281">
      <c r="K281" s="5"/>
    </row>
    <row r="282">
      <c r="K282" s="5"/>
    </row>
    <row r="283">
      <c r="K283" s="5"/>
    </row>
    <row r="284">
      <c r="K284" s="5"/>
    </row>
    <row r="285">
      <c r="K285" s="5"/>
    </row>
    <row r="286">
      <c r="K286" s="5"/>
    </row>
    <row r="287">
      <c r="K287" s="5"/>
    </row>
    <row r="288">
      <c r="K288" s="5"/>
    </row>
    <row r="289">
      <c r="K289" s="5"/>
    </row>
    <row r="290">
      <c r="K290" s="5"/>
    </row>
    <row r="291">
      <c r="K291" s="5"/>
    </row>
    <row r="292">
      <c r="K292" s="5"/>
    </row>
    <row r="293">
      <c r="K293" s="5"/>
    </row>
    <row r="294">
      <c r="K294" s="5"/>
    </row>
    <row r="295">
      <c r="K295" s="5"/>
    </row>
    <row r="296">
      <c r="K296" s="5"/>
    </row>
    <row r="297">
      <c r="K297" s="5"/>
    </row>
    <row r="298">
      <c r="K298" s="5"/>
    </row>
    <row r="299">
      <c r="K299" s="5"/>
    </row>
    <row r="300">
      <c r="K300" s="5"/>
    </row>
    <row r="301">
      <c r="K301" s="5"/>
    </row>
    <row r="302">
      <c r="K302" s="5"/>
    </row>
    <row r="303">
      <c r="K303" s="5"/>
    </row>
    <row r="304">
      <c r="K304" s="5"/>
    </row>
    <row r="305">
      <c r="K305" s="5"/>
    </row>
    <row r="306">
      <c r="K306" s="5"/>
    </row>
    <row r="307">
      <c r="K307" s="5"/>
    </row>
    <row r="308">
      <c r="K308" s="5"/>
    </row>
    <row r="309">
      <c r="K309" s="5"/>
    </row>
    <row r="310">
      <c r="K310" s="5"/>
    </row>
    <row r="311">
      <c r="K311" s="5"/>
    </row>
    <row r="312">
      <c r="K312" s="5"/>
    </row>
    <row r="313">
      <c r="K313" s="5"/>
    </row>
    <row r="314">
      <c r="K314" s="5"/>
    </row>
    <row r="315">
      <c r="K315" s="5"/>
    </row>
    <row r="316">
      <c r="K316" s="5"/>
    </row>
    <row r="317">
      <c r="K317" s="5"/>
    </row>
    <row r="318">
      <c r="K318" s="5"/>
    </row>
    <row r="319">
      <c r="K319" s="5"/>
    </row>
    <row r="320">
      <c r="K320" s="5"/>
    </row>
    <row r="321">
      <c r="K321" s="5"/>
    </row>
    <row r="322">
      <c r="K322" s="5"/>
    </row>
    <row r="323">
      <c r="K323" s="5"/>
    </row>
    <row r="324">
      <c r="K324" s="5"/>
    </row>
    <row r="325">
      <c r="K325" s="5"/>
    </row>
    <row r="326">
      <c r="K326" s="5"/>
    </row>
    <row r="327">
      <c r="K327" s="5"/>
    </row>
    <row r="328">
      <c r="K328" s="5"/>
    </row>
    <row r="329">
      <c r="K329" s="5"/>
    </row>
    <row r="330">
      <c r="K330" s="5"/>
    </row>
    <row r="331">
      <c r="K331" s="5"/>
    </row>
    <row r="332">
      <c r="K332" s="5"/>
    </row>
    <row r="333">
      <c r="K333" s="5"/>
    </row>
    <row r="334">
      <c r="K334" s="5"/>
    </row>
    <row r="335">
      <c r="K335" s="5"/>
    </row>
    <row r="336">
      <c r="K336" s="5"/>
    </row>
    <row r="337">
      <c r="K337" s="5"/>
    </row>
    <row r="338">
      <c r="K338" s="5"/>
    </row>
    <row r="339">
      <c r="K339" s="5"/>
    </row>
    <row r="340">
      <c r="K340" s="5"/>
    </row>
    <row r="341">
      <c r="K341" s="5"/>
    </row>
    <row r="342">
      <c r="K342" s="5"/>
    </row>
    <row r="343">
      <c r="K343" s="5"/>
    </row>
    <row r="344">
      <c r="K344" s="5"/>
    </row>
    <row r="345">
      <c r="K345" s="5"/>
    </row>
    <row r="346">
      <c r="K346" s="5"/>
    </row>
    <row r="347">
      <c r="K347" s="5"/>
    </row>
    <row r="348">
      <c r="K348" s="5"/>
    </row>
    <row r="349">
      <c r="K349" s="5"/>
    </row>
    <row r="350">
      <c r="K350" s="5"/>
    </row>
    <row r="351">
      <c r="K351" s="5"/>
    </row>
    <row r="352">
      <c r="K352" s="5"/>
    </row>
    <row r="353">
      <c r="K353" s="5"/>
    </row>
    <row r="354">
      <c r="K354" s="5"/>
    </row>
    <row r="355">
      <c r="K355" s="5"/>
    </row>
    <row r="356">
      <c r="K356" s="5"/>
    </row>
    <row r="357">
      <c r="K357" s="5"/>
    </row>
    <row r="358">
      <c r="K358" s="5"/>
    </row>
    <row r="359">
      <c r="K359" s="5"/>
    </row>
    <row r="360">
      <c r="K360" s="5"/>
    </row>
    <row r="361">
      <c r="K361" s="5"/>
    </row>
    <row r="362">
      <c r="K362" s="5"/>
    </row>
    <row r="363">
      <c r="K363" s="5"/>
    </row>
    <row r="364">
      <c r="K364" s="5"/>
    </row>
    <row r="365">
      <c r="K365" s="5"/>
    </row>
    <row r="366">
      <c r="K366" s="5"/>
    </row>
    <row r="367">
      <c r="K367" s="5"/>
    </row>
    <row r="368">
      <c r="K368" s="5"/>
    </row>
    <row r="369">
      <c r="K369" s="5"/>
    </row>
    <row r="370">
      <c r="K370" s="5"/>
    </row>
    <row r="371">
      <c r="K371" s="5"/>
    </row>
    <row r="372">
      <c r="K372" s="5"/>
    </row>
    <row r="373">
      <c r="K373" s="5"/>
    </row>
    <row r="374">
      <c r="K374" s="5"/>
    </row>
    <row r="375">
      <c r="K375" s="5"/>
    </row>
    <row r="376">
      <c r="K376" s="5"/>
    </row>
    <row r="377">
      <c r="K377" s="5"/>
    </row>
    <row r="378">
      <c r="K378" s="5"/>
    </row>
    <row r="379">
      <c r="K379" s="5"/>
    </row>
    <row r="380">
      <c r="K380" s="5"/>
    </row>
    <row r="381">
      <c r="K381" s="5"/>
    </row>
    <row r="382">
      <c r="K382" s="5"/>
    </row>
    <row r="383">
      <c r="K383" s="5"/>
    </row>
    <row r="384">
      <c r="K384" s="5"/>
    </row>
    <row r="385">
      <c r="K385" s="5"/>
    </row>
    <row r="386">
      <c r="K386" s="5"/>
    </row>
    <row r="387">
      <c r="K387" s="5"/>
    </row>
    <row r="388">
      <c r="K388" s="5"/>
    </row>
    <row r="389">
      <c r="K389" s="5"/>
    </row>
    <row r="390">
      <c r="K390" s="5"/>
    </row>
    <row r="391">
      <c r="K391" s="5"/>
    </row>
    <row r="392">
      <c r="K392" s="5"/>
    </row>
    <row r="393">
      <c r="K393" s="5"/>
    </row>
    <row r="394">
      <c r="K394" s="5"/>
    </row>
    <row r="395">
      <c r="K395" s="5"/>
    </row>
    <row r="396">
      <c r="K396" s="5"/>
    </row>
    <row r="397">
      <c r="K397" s="5"/>
    </row>
    <row r="398">
      <c r="K398" s="5"/>
    </row>
    <row r="399">
      <c r="K399" s="5"/>
    </row>
    <row r="400">
      <c r="K400" s="5"/>
    </row>
    <row r="401">
      <c r="K401" s="5"/>
    </row>
    <row r="402">
      <c r="K402" s="5"/>
    </row>
    <row r="403">
      <c r="K403" s="5"/>
    </row>
    <row r="404">
      <c r="K404" s="5"/>
    </row>
    <row r="405">
      <c r="K405" s="5"/>
    </row>
    <row r="406">
      <c r="K406" s="5"/>
    </row>
    <row r="407">
      <c r="K407" s="5"/>
    </row>
    <row r="408">
      <c r="K408" s="5"/>
    </row>
    <row r="409">
      <c r="K409" s="5"/>
    </row>
    <row r="410">
      <c r="K410" s="5"/>
    </row>
    <row r="411">
      <c r="K411" s="5"/>
    </row>
    <row r="412">
      <c r="K412" s="5"/>
    </row>
    <row r="413">
      <c r="K413" s="5"/>
    </row>
    <row r="414">
      <c r="K414" s="5"/>
    </row>
    <row r="415">
      <c r="K415" s="5"/>
    </row>
    <row r="416">
      <c r="K416" s="5"/>
    </row>
    <row r="417">
      <c r="K417" s="5"/>
    </row>
    <row r="418">
      <c r="K418" s="5"/>
    </row>
    <row r="419">
      <c r="K419" s="5"/>
    </row>
    <row r="420">
      <c r="K420" s="5"/>
    </row>
    <row r="421">
      <c r="K421" s="5"/>
    </row>
    <row r="422">
      <c r="K422" s="5"/>
    </row>
    <row r="423">
      <c r="K423" s="5"/>
    </row>
    <row r="424">
      <c r="K424" s="5"/>
    </row>
    <row r="425">
      <c r="K425" s="5"/>
    </row>
    <row r="426">
      <c r="K426" s="5"/>
    </row>
    <row r="427">
      <c r="K427" s="5"/>
    </row>
    <row r="428">
      <c r="K428" s="5"/>
    </row>
    <row r="429">
      <c r="K429" s="5"/>
    </row>
    <row r="430">
      <c r="K430" s="5"/>
    </row>
    <row r="431">
      <c r="K431" s="5"/>
    </row>
    <row r="432">
      <c r="K432" s="5"/>
    </row>
    <row r="433">
      <c r="K433" s="5"/>
    </row>
    <row r="434">
      <c r="K434" s="5"/>
    </row>
    <row r="435">
      <c r="K435" s="5"/>
    </row>
    <row r="436">
      <c r="K436" s="5"/>
    </row>
    <row r="437">
      <c r="K437" s="5"/>
    </row>
    <row r="438">
      <c r="K438" s="5"/>
    </row>
    <row r="439">
      <c r="K439" s="5"/>
    </row>
    <row r="440">
      <c r="K440" s="5"/>
    </row>
    <row r="441">
      <c r="K441" s="5"/>
    </row>
    <row r="442">
      <c r="K442" s="5"/>
    </row>
    <row r="443">
      <c r="K443" s="5"/>
    </row>
    <row r="444">
      <c r="K444" s="5"/>
    </row>
    <row r="445">
      <c r="K445" s="5"/>
    </row>
    <row r="446">
      <c r="K446" s="5"/>
    </row>
    <row r="447">
      <c r="K447" s="5"/>
    </row>
    <row r="448">
      <c r="K448" s="5"/>
    </row>
    <row r="449">
      <c r="K449" s="5"/>
    </row>
    <row r="450">
      <c r="K450" s="5"/>
    </row>
    <row r="451">
      <c r="K451" s="5"/>
    </row>
    <row r="452">
      <c r="K452" s="5"/>
    </row>
    <row r="453">
      <c r="K453" s="5"/>
    </row>
    <row r="454">
      <c r="K454" s="5"/>
    </row>
    <row r="455">
      <c r="K455" s="5"/>
    </row>
    <row r="456">
      <c r="K456" s="5"/>
    </row>
    <row r="457">
      <c r="K457" s="5"/>
    </row>
    <row r="458">
      <c r="K458" s="5"/>
    </row>
    <row r="459">
      <c r="K459" s="5"/>
    </row>
    <row r="460">
      <c r="K460" s="5"/>
    </row>
    <row r="461">
      <c r="K461" s="5"/>
    </row>
    <row r="462">
      <c r="K462" s="5"/>
    </row>
    <row r="463">
      <c r="K463" s="5"/>
    </row>
    <row r="464">
      <c r="K464" s="5"/>
    </row>
    <row r="465">
      <c r="K465" s="5"/>
    </row>
    <row r="466">
      <c r="K466" s="5"/>
    </row>
    <row r="467">
      <c r="K467" s="5"/>
    </row>
    <row r="468">
      <c r="K468" s="5"/>
    </row>
    <row r="469">
      <c r="K469" s="5"/>
    </row>
    <row r="470">
      <c r="K470" s="5"/>
    </row>
    <row r="471">
      <c r="K471" s="5"/>
    </row>
    <row r="472">
      <c r="K472" s="5"/>
    </row>
    <row r="473">
      <c r="K473" s="5"/>
    </row>
    <row r="474">
      <c r="K474" s="5"/>
    </row>
    <row r="475">
      <c r="K475" s="5"/>
    </row>
    <row r="476">
      <c r="K476" s="5"/>
    </row>
    <row r="477">
      <c r="K477" s="5"/>
    </row>
    <row r="478">
      <c r="K478" s="5"/>
    </row>
    <row r="479">
      <c r="K479" s="5"/>
    </row>
    <row r="480">
      <c r="K480" s="5"/>
    </row>
    <row r="481">
      <c r="K481" s="5"/>
    </row>
    <row r="482">
      <c r="K482" s="5"/>
    </row>
    <row r="483">
      <c r="K483" s="5"/>
    </row>
    <row r="484">
      <c r="K484" s="5"/>
    </row>
    <row r="485">
      <c r="K485" s="5"/>
    </row>
    <row r="486">
      <c r="K486" s="5"/>
    </row>
    <row r="487">
      <c r="K487" s="5"/>
    </row>
    <row r="488">
      <c r="K488" s="5"/>
    </row>
    <row r="489">
      <c r="K489" s="5"/>
    </row>
    <row r="490">
      <c r="K490" s="5"/>
    </row>
    <row r="491">
      <c r="K491" s="5"/>
    </row>
    <row r="492">
      <c r="K492" s="5"/>
    </row>
    <row r="493">
      <c r="K493" s="5"/>
    </row>
    <row r="494">
      <c r="K494" s="5"/>
    </row>
    <row r="495">
      <c r="K495" s="5"/>
    </row>
    <row r="496">
      <c r="K496" s="5"/>
    </row>
    <row r="497">
      <c r="K497" s="5"/>
    </row>
    <row r="498">
      <c r="K498" s="5"/>
    </row>
    <row r="499">
      <c r="K499" s="5"/>
    </row>
    <row r="500">
      <c r="K500" s="5"/>
    </row>
    <row r="501">
      <c r="K501" s="5"/>
    </row>
    <row r="502">
      <c r="K502" s="5"/>
    </row>
    <row r="503">
      <c r="K503" s="5"/>
    </row>
    <row r="504">
      <c r="K504" s="5"/>
    </row>
    <row r="505">
      <c r="K505" s="5"/>
    </row>
    <row r="506">
      <c r="K506" s="5"/>
    </row>
    <row r="507">
      <c r="K507" s="5"/>
    </row>
    <row r="508">
      <c r="K508" s="5"/>
    </row>
    <row r="509">
      <c r="K509" s="5"/>
    </row>
    <row r="510">
      <c r="K510" s="5"/>
    </row>
    <row r="511">
      <c r="K511" s="5"/>
    </row>
    <row r="512">
      <c r="K512" s="5"/>
    </row>
    <row r="513">
      <c r="K513" s="5"/>
    </row>
    <row r="514">
      <c r="K514" s="5"/>
    </row>
    <row r="515">
      <c r="K515" s="5"/>
    </row>
    <row r="516">
      <c r="K516" s="5"/>
    </row>
    <row r="517">
      <c r="K517" s="5"/>
    </row>
    <row r="518">
      <c r="K518" s="5"/>
    </row>
    <row r="519">
      <c r="K519" s="5"/>
    </row>
    <row r="520">
      <c r="K520" s="5"/>
    </row>
    <row r="521">
      <c r="K521" s="5"/>
    </row>
    <row r="522">
      <c r="K522" s="5"/>
    </row>
    <row r="523">
      <c r="K523" s="5"/>
    </row>
    <row r="524">
      <c r="K524" s="5"/>
    </row>
    <row r="525">
      <c r="K525" s="5"/>
    </row>
    <row r="526">
      <c r="K526" s="5"/>
    </row>
    <row r="527">
      <c r="K527" s="5"/>
    </row>
    <row r="528">
      <c r="K528" s="5"/>
    </row>
    <row r="529">
      <c r="K529" s="5"/>
    </row>
    <row r="530">
      <c r="K530" s="5"/>
    </row>
    <row r="531">
      <c r="K531" s="5"/>
    </row>
    <row r="532">
      <c r="K532" s="5"/>
    </row>
    <row r="533">
      <c r="K533" s="5"/>
    </row>
    <row r="534">
      <c r="K534" s="5"/>
    </row>
    <row r="535">
      <c r="K535" s="5"/>
    </row>
    <row r="536">
      <c r="K536" s="5"/>
    </row>
    <row r="537">
      <c r="K537" s="5"/>
    </row>
    <row r="538">
      <c r="K538" s="5"/>
    </row>
    <row r="539">
      <c r="K539" s="5"/>
    </row>
    <row r="540">
      <c r="K540" s="5"/>
    </row>
    <row r="541">
      <c r="K541" s="5"/>
    </row>
    <row r="542">
      <c r="K542" s="5"/>
    </row>
    <row r="543">
      <c r="K543" s="5"/>
    </row>
    <row r="544">
      <c r="K544" s="5"/>
    </row>
    <row r="545">
      <c r="K545" s="5"/>
    </row>
    <row r="546">
      <c r="K546" s="5"/>
    </row>
    <row r="547">
      <c r="K547" s="5"/>
    </row>
    <row r="548">
      <c r="K548" s="5"/>
    </row>
    <row r="549">
      <c r="K549" s="5"/>
    </row>
    <row r="550">
      <c r="K550" s="5"/>
    </row>
    <row r="551">
      <c r="K551" s="5"/>
    </row>
    <row r="552">
      <c r="K552" s="5"/>
    </row>
    <row r="553">
      <c r="K553" s="5"/>
    </row>
    <row r="554">
      <c r="K554" s="5"/>
    </row>
    <row r="555">
      <c r="K555" s="5"/>
    </row>
    <row r="556">
      <c r="K556" s="5"/>
    </row>
    <row r="557">
      <c r="K557" s="5"/>
    </row>
    <row r="558">
      <c r="K558" s="5"/>
    </row>
    <row r="559">
      <c r="K559" s="5"/>
    </row>
    <row r="560">
      <c r="K560" s="5"/>
    </row>
    <row r="561">
      <c r="K561" s="5"/>
    </row>
    <row r="562">
      <c r="K562" s="5"/>
    </row>
    <row r="563">
      <c r="K563" s="5"/>
    </row>
    <row r="564">
      <c r="K564" s="5"/>
    </row>
    <row r="565">
      <c r="K565" s="5"/>
    </row>
    <row r="566">
      <c r="K566" s="5"/>
    </row>
    <row r="567">
      <c r="K567" s="5"/>
    </row>
    <row r="568">
      <c r="K568" s="5"/>
    </row>
    <row r="569">
      <c r="K569" s="5"/>
    </row>
    <row r="570">
      <c r="K570" s="5"/>
    </row>
    <row r="571">
      <c r="K571" s="5"/>
    </row>
    <row r="572">
      <c r="K572" s="5"/>
    </row>
    <row r="573">
      <c r="K573" s="5"/>
    </row>
    <row r="574">
      <c r="K574" s="5"/>
    </row>
    <row r="575">
      <c r="K575" s="5"/>
    </row>
    <row r="576">
      <c r="K576" s="5"/>
    </row>
    <row r="577">
      <c r="K577" s="5"/>
    </row>
    <row r="578">
      <c r="K578" s="5"/>
    </row>
    <row r="579">
      <c r="K579" s="5"/>
    </row>
    <row r="580">
      <c r="K580" s="5"/>
    </row>
    <row r="581">
      <c r="K581" s="5"/>
    </row>
    <row r="582">
      <c r="K582" s="5"/>
    </row>
    <row r="583">
      <c r="K583" s="5"/>
    </row>
    <row r="584">
      <c r="K584" s="5"/>
    </row>
    <row r="585">
      <c r="K585" s="5"/>
    </row>
    <row r="586">
      <c r="K586" s="5"/>
    </row>
    <row r="587">
      <c r="K587" s="5"/>
    </row>
    <row r="588">
      <c r="K588" s="5"/>
    </row>
    <row r="589">
      <c r="K589" s="5"/>
    </row>
    <row r="590">
      <c r="K590" s="5"/>
    </row>
    <row r="591">
      <c r="K591" s="5"/>
    </row>
    <row r="592">
      <c r="K592" s="5"/>
    </row>
    <row r="593">
      <c r="K593" s="5"/>
    </row>
    <row r="594">
      <c r="K594" s="5"/>
    </row>
    <row r="595">
      <c r="K595" s="5"/>
    </row>
    <row r="596">
      <c r="K596" s="5"/>
    </row>
    <row r="597">
      <c r="K597" s="5"/>
    </row>
    <row r="598">
      <c r="K598" s="5"/>
    </row>
    <row r="599">
      <c r="K599" s="5"/>
    </row>
    <row r="600">
      <c r="K600" s="5"/>
    </row>
    <row r="601">
      <c r="K601" s="5"/>
    </row>
    <row r="602">
      <c r="K602" s="5"/>
    </row>
    <row r="603">
      <c r="K603" s="5"/>
    </row>
    <row r="604">
      <c r="K604" s="5"/>
    </row>
    <row r="605">
      <c r="K605" s="5"/>
    </row>
    <row r="606">
      <c r="K606" s="5"/>
    </row>
    <row r="607">
      <c r="K607" s="5"/>
    </row>
    <row r="608">
      <c r="K608" s="5"/>
    </row>
    <row r="609">
      <c r="K609" s="5"/>
    </row>
    <row r="610">
      <c r="K610" s="5"/>
    </row>
    <row r="611">
      <c r="K611" s="5"/>
    </row>
    <row r="612">
      <c r="K612" s="5"/>
    </row>
    <row r="613">
      <c r="K613" s="5"/>
    </row>
    <row r="614">
      <c r="K614" s="5"/>
    </row>
    <row r="615">
      <c r="K615" s="5"/>
    </row>
    <row r="616">
      <c r="K616" s="5"/>
    </row>
    <row r="617">
      <c r="K617" s="5"/>
    </row>
    <row r="618">
      <c r="K618" s="5"/>
    </row>
    <row r="619">
      <c r="K619" s="5"/>
    </row>
    <row r="620">
      <c r="K620" s="5"/>
    </row>
    <row r="621">
      <c r="K621" s="5"/>
    </row>
    <row r="622">
      <c r="K622" s="5"/>
    </row>
    <row r="623">
      <c r="K623" s="5"/>
    </row>
    <row r="624">
      <c r="K624" s="5"/>
    </row>
    <row r="625">
      <c r="K625" s="5"/>
    </row>
    <row r="626">
      <c r="K626" s="5"/>
    </row>
    <row r="627">
      <c r="K627" s="5"/>
    </row>
    <row r="628">
      <c r="K628" s="5"/>
    </row>
    <row r="629">
      <c r="K629" s="5"/>
    </row>
    <row r="630">
      <c r="K630" s="5"/>
    </row>
    <row r="631">
      <c r="K631" s="5"/>
    </row>
    <row r="632">
      <c r="K632" s="5"/>
    </row>
    <row r="633">
      <c r="K633" s="5"/>
    </row>
    <row r="634">
      <c r="K634" s="5"/>
    </row>
    <row r="635">
      <c r="K635" s="5"/>
    </row>
    <row r="636">
      <c r="K636" s="5"/>
    </row>
    <row r="637">
      <c r="K637" s="5"/>
    </row>
    <row r="638">
      <c r="K638" s="5"/>
    </row>
    <row r="639">
      <c r="K639" s="5"/>
    </row>
    <row r="640">
      <c r="K640" s="5"/>
    </row>
    <row r="641">
      <c r="K641" s="5"/>
    </row>
    <row r="642">
      <c r="K642" s="5"/>
    </row>
    <row r="643">
      <c r="K643" s="5"/>
    </row>
    <row r="644">
      <c r="K644" s="5"/>
    </row>
    <row r="645">
      <c r="K645" s="5"/>
    </row>
    <row r="646">
      <c r="K646" s="5"/>
    </row>
    <row r="647">
      <c r="K647" s="5"/>
    </row>
    <row r="648">
      <c r="K648" s="5"/>
    </row>
    <row r="649">
      <c r="K649" s="5"/>
    </row>
    <row r="650">
      <c r="K650" s="5"/>
    </row>
    <row r="651">
      <c r="K651" s="5"/>
    </row>
    <row r="652">
      <c r="K652" s="5"/>
    </row>
    <row r="653">
      <c r="K653" s="5"/>
    </row>
    <row r="654">
      <c r="K654" s="5"/>
    </row>
    <row r="655">
      <c r="K655" s="5"/>
    </row>
    <row r="656">
      <c r="K656" s="5"/>
    </row>
    <row r="657">
      <c r="K657" s="5"/>
    </row>
    <row r="658">
      <c r="K658" s="5"/>
    </row>
    <row r="659">
      <c r="K659" s="5"/>
    </row>
    <row r="660">
      <c r="K660" s="5"/>
    </row>
    <row r="661">
      <c r="K661" s="5"/>
    </row>
    <row r="662">
      <c r="K662" s="5"/>
    </row>
    <row r="663">
      <c r="K663" s="5"/>
    </row>
    <row r="664">
      <c r="K664" s="5"/>
    </row>
    <row r="665">
      <c r="K665" s="5"/>
    </row>
    <row r="666">
      <c r="K666" s="5"/>
    </row>
    <row r="667">
      <c r="K667" s="5"/>
    </row>
    <row r="668">
      <c r="K668" s="5"/>
    </row>
    <row r="669">
      <c r="K669" s="5"/>
    </row>
    <row r="670">
      <c r="K670" s="5"/>
    </row>
    <row r="671">
      <c r="K671" s="5"/>
    </row>
    <row r="672">
      <c r="K672" s="5"/>
    </row>
    <row r="673">
      <c r="K673" s="5"/>
    </row>
    <row r="674">
      <c r="K674" s="5"/>
    </row>
    <row r="675">
      <c r="K675" s="5"/>
    </row>
    <row r="676">
      <c r="K676" s="5"/>
    </row>
    <row r="677">
      <c r="K677" s="5"/>
    </row>
    <row r="678">
      <c r="K678" s="5"/>
    </row>
    <row r="679">
      <c r="K679" s="5"/>
    </row>
    <row r="680">
      <c r="K680" s="5"/>
    </row>
    <row r="681">
      <c r="K681" s="5"/>
    </row>
    <row r="682">
      <c r="K682" s="5"/>
    </row>
    <row r="683">
      <c r="K683" s="5"/>
    </row>
    <row r="684">
      <c r="K684" s="5"/>
    </row>
    <row r="685">
      <c r="K685" s="5"/>
    </row>
    <row r="686">
      <c r="K686" s="5"/>
    </row>
    <row r="687">
      <c r="K687" s="5"/>
    </row>
    <row r="688">
      <c r="K688" s="5"/>
    </row>
    <row r="689">
      <c r="K689" s="5"/>
    </row>
    <row r="690">
      <c r="K690" s="5"/>
    </row>
    <row r="691">
      <c r="K691" s="5"/>
    </row>
    <row r="692">
      <c r="K692" s="5"/>
    </row>
    <row r="693">
      <c r="K693" s="5"/>
    </row>
    <row r="694">
      <c r="K694" s="5"/>
    </row>
    <row r="695">
      <c r="K695" s="5"/>
    </row>
    <row r="696">
      <c r="K696" s="5"/>
    </row>
    <row r="697">
      <c r="K697" s="5"/>
    </row>
    <row r="698">
      <c r="K698" s="5"/>
    </row>
    <row r="699">
      <c r="K699" s="5"/>
    </row>
    <row r="700">
      <c r="K700" s="5"/>
    </row>
    <row r="701">
      <c r="K701" s="5"/>
    </row>
    <row r="702">
      <c r="K702" s="5"/>
    </row>
    <row r="703">
      <c r="K703" s="5"/>
    </row>
    <row r="704">
      <c r="K704" s="5"/>
    </row>
    <row r="705">
      <c r="K705" s="5"/>
    </row>
    <row r="706">
      <c r="K706" s="5"/>
    </row>
    <row r="707">
      <c r="K707" s="5"/>
    </row>
    <row r="708">
      <c r="K708" s="5"/>
    </row>
    <row r="709">
      <c r="K709" s="5"/>
    </row>
    <row r="710">
      <c r="K710" s="5"/>
    </row>
    <row r="711">
      <c r="K711" s="5"/>
    </row>
    <row r="712">
      <c r="K712" s="5"/>
    </row>
    <row r="713">
      <c r="K713" s="5"/>
    </row>
    <row r="714">
      <c r="K714" s="5"/>
    </row>
    <row r="715">
      <c r="K715" s="5"/>
    </row>
    <row r="716">
      <c r="K716" s="5"/>
    </row>
    <row r="717">
      <c r="K717" s="5"/>
    </row>
    <row r="718">
      <c r="K718" s="5"/>
    </row>
    <row r="719">
      <c r="K719" s="5"/>
    </row>
    <row r="720">
      <c r="K720" s="5"/>
    </row>
    <row r="721">
      <c r="K721" s="5"/>
    </row>
    <row r="722">
      <c r="K722" s="5"/>
    </row>
    <row r="723">
      <c r="K723" s="5"/>
    </row>
    <row r="724">
      <c r="K724" s="5"/>
    </row>
    <row r="725">
      <c r="K725" s="5"/>
    </row>
    <row r="726">
      <c r="K726" s="5"/>
    </row>
    <row r="727">
      <c r="K727" s="5"/>
    </row>
    <row r="728">
      <c r="K728" s="5"/>
    </row>
    <row r="729">
      <c r="K729" s="5"/>
    </row>
    <row r="730">
      <c r="K730" s="5"/>
    </row>
    <row r="731">
      <c r="K731" s="5"/>
    </row>
    <row r="732">
      <c r="K732" s="5"/>
    </row>
    <row r="733">
      <c r="K733" s="5"/>
    </row>
    <row r="734">
      <c r="K734" s="5"/>
    </row>
    <row r="735">
      <c r="K735" s="5"/>
    </row>
    <row r="736">
      <c r="K736" s="5"/>
    </row>
    <row r="737">
      <c r="K737" s="5"/>
    </row>
    <row r="738">
      <c r="K738" s="5"/>
    </row>
    <row r="739">
      <c r="K739" s="5"/>
    </row>
    <row r="740">
      <c r="K740" s="5"/>
    </row>
    <row r="741">
      <c r="K741" s="5"/>
    </row>
    <row r="742">
      <c r="K742" s="5"/>
    </row>
    <row r="743">
      <c r="K743" s="5"/>
    </row>
    <row r="744">
      <c r="K744" s="5"/>
    </row>
    <row r="745">
      <c r="K745" s="5"/>
    </row>
    <row r="746">
      <c r="K746" s="5"/>
    </row>
    <row r="747">
      <c r="K747" s="5"/>
    </row>
    <row r="748">
      <c r="K748" s="5"/>
    </row>
    <row r="749">
      <c r="K749" s="5"/>
    </row>
    <row r="750">
      <c r="K750" s="5"/>
    </row>
    <row r="751">
      <c r="K751" s="5"/>
    </row>
    <row r="752">
      <c r="K752" s="5"/>
    </row>
    <row r="753">
      <c r="K753" s="5"/>
    </row>
    <row r="754">
      <c r="K754" s="5"/>
    </row>
    <row r="755">
      <c r="K755" s="5"/>
    </row>
    <row r="756">
      <c r="K756" s="5"/>
    </row>
    <row r="757">
      <c r="K757" s="5"/>
    </row>
    <row r="758">
      <c r="K758" s="5"/>
    </row>
    <row r="759">
      <c r="K759" s="5"/>
    </row>
    <row r="760">
      <c r="K760" s="5"/>
    </row>
    <row r="761">
      <c r="K761" s="5"/>
    </row>
    <row r="762">
      <c r="K762" s="5"/>
    </row>
    <row r="763">
      <c r="K763" s="5"/>
    </row>
    <row r="764">
      <c r="K764" s="5"/>
    </row>
    <row r="765">
      <c r="K765" s="5"/>
    </row>
    <row r="766">
      <c r="K766" s="5"/>
    </row>
    <row r="767">
      <c r="K767" s="5"/>
    </row>
    <row r="768">
      <c r="K768" s="5"/>
    </row>
    <row r="769">
      <c r="K769" s="5"/>
    </row>
    <row r="770">
      <c r="K770" s="5"/>
    </row>
    <row r="771">
      <c r="K771" s="5"/>
    </row>
    <row r="772">
      <c r="K772" s="5"/>
    </row>
    <row r="773">
      <c r="K773" s="5"/>
    </row>
    <row r="774">
      <c r="K774" s="5"/>
    </row>
    <row r="775">
      <c r="K775" s="5"/>
    </row>
    <row r="776">
      <c r="K776" s="5"/>
    </row>
    <row r="777">
      <c r="K777" s="5"/>
    </row>
    <row r="778">
      <c r="K778" s="5"/>
    </row>
    <row r="779">
      <c r="K779" s="5"/>
    </row>
    <row r="780">
      <c r="K780" s="5"/>
    </row>
    <row r="781">
      <c r="K781" s="5"/>
    </row>
    <row r="782">
      <c r="K782" s="5"/>
    </row>
    <row r="783">
      <c r="K783" s="5"/>
    </row>
    <row r="784">
      <c r="K784" s="5"/>
    </row>
    <row r="785">
      <c r="K785" s="5"/>
    </row>
    <row r="786">
      <c r="K786" s="5"/>
    </row>
    <row r="787">
      <c r="K787" s="5"/>
    </row>
    <row r="788">
      <c r="K788" s="5"/>
    </row>
    <row r="789">
      <c r="K789" s="5"/>
    </row>
    <row r="790">
      <c r="K790" s="5"/>
    </row>
    <row r="791">
      <c r="K791" s="5"/>
    </row>
    <row r="792">
      <c r="K792" s="5"/>
    </row>
    <row r="793">
      <c r="K793" s="5"/>
    </row>
    <row r="794">
      <c r="K794" s="5"/>
    </row>
    <row r="795">
      <c r="K795" s="5"/>
    </row>
    <row r="796">
      <c r="K796" s="5"/>
    </row>
    <row r="797">
      <c r="K797" s="5"/>
    </row>
    <row r="798">
      <c r="K798" s="5"/>
    </row>
    <row r="799">
      <c r="K799" s="5"/>
    </row>
    <row r="800">
      <c r="K800" s="5"/>
    </row>
    <row r="801">
      <c r="K801" s="5"/>
    </row>
    <row r="802">
      <c r="K802" s="5"/>
    </row>
    <row r="803">
      <c r="K803" s="5"/>
    </row>
    <row r="804">
      <c r="K804" s="5"/>
    </row>
    <row r="805">
      <c r="K805" s="5"/>
    </row>
    <row r="806">
      <c r="K806" s="5"/>
    </row>
    <row r="807">
      <c r="K807" s="5"/>
    </row>
    <row r="808">
      <c r="K808" s="5"/>
    </row>
    <row r="809">
      <c r="K809" s="5"/>
    </row>
    <row r="810">
      <c r="K810" s="5"/>
    </row>
    <row r="811">
      <c r="K811" s="5"/>
    </row>
    <row r="812">
      <c r="K812" s="5"/>
    </row>
    <row r="813">
      <c r="K813" s="5"/>
    </row>
    <row r="814">
      <c r="K814" s="5"/>
    </row>
    <row r="815">
      <c r="K815" s="5"/>
    </row>
    <row r="816">
      <c r="K816" s="5"/>
    </row>
    <row r="817">
      <c r="K817" s="5"/>
    </row>
    <row r="818">
      <c r="K818" s="5"/>
    </row>
    <row r="819">
      <c r="K819" s="5"/>
    </row>
    <row r="820">
      <c r="K820" s="5"/>
    </row>
    <row r="821">
      <c r="K821" s="5"/>
    </row>
    <row r="822">
      <c r="K822" s="5"/>
    </row>
    <row r="823">
      <c r="K823" s="5"/>
    </row>
    <row r="824">
      <c r="K824" s="5"/>
    </row>
    <row r="825">
      <c r="K825" s="5"/>
    </row>
    <row r="826">
      <c r="K826" s="5"/>
    </row>
    <row r="827">
      <c r="K827" s="5"/>
    </row>
    <row r="828">
      <c r="K828" s="5"/>
    </row>
    <row r="829">
      <c r="K829" s="5"/>
    </row>
    <row r="830">
      <c r="K830" s="5"/>
    </row>
    <row r="831">
      <c r="K831" s="5"/>
    </row>
    <row r="832">
      <c r="K832" s="5"/>
    </row>
    <row r="833">
      <c r="K833" s="5"/>
    </row>
    <row r="834">
      <c r="K834" s="5"/>
    </row>
    <row r="835">
      <c r="K835" s="5"/>
    </row>
    <row r="836">
      <c r="K836" s="5"/>
    </row>
    <row r="837">
      <c r="K837" s="5"/>
    </row>
    <row r="838">
      <c r="K838" s="5"/>
    </row>
    <row r="839">
      <c r="K839" s="5"/>
    </row>
    <row r="840">
      <c r="K840" s="5"/>
    </row>
    <row r="841">
      <c r="K841" s="5"/>
    </row>
    <row r="842">
      <c r="K842" s="5"/>
    </row>
    <row r="843">
      <c r="K843" s="5"/>
    </row>
    <row r="844">
      <c r="K844" s="5"/>
    </row>
    <row r="845">
      <c r="K845" s="5"/>
    </row>
    <row r="846">
      <c r="K846" s="5"/>
    </row>
    <row r="847">
      <c r="K847" s="5"/>
    </row>
    <row r="848">
      <c r="K848" s="5"/>
    </row>
    <row r="849">
      <c r="K849" s="5"/>
    </row>
    <row r="850">
      <c r="K850" s="5"/>
    </row>
    <row r="851">
      <c r="K851" s="5"/>
    </row>
    <row r="852">
      <c r="K852" s="5"/>
    </row>
    <row r="853">
      <c r="K853" s="5"/>
    </row>
    <row r="854">
      <c r="K854" s="5"/>
    </row>
    <row r="855">
      <c r="K855" s="5"/>
    </row>
    <row r="856">
      <c r="K856" s="5"/>
    </row>
    <row r="857">
      <c r="K857" s="5"/>
    </row>
    <row r="858">
      <c r="K858" s="5"/>
    </row>
    <row r="859">
      <c r="K859" s="5"/>
    </row>
    <row r="860">
      <c r="K860" s="5"/>
    </row>
    <row r="861">
      <c r="K861" s="5"/>
    </row>
    <row r="862">
      <c r="K862" s="5"/>
    </row>
    <row r="863">
      <c r="K863" s="5"/>
    </row>
    <row r="864">
      <c r="K864" s="5"/>
    </row>
    <row r="865">
      <c r="K865" s="5"/>
    </row>
    <row r="866">
      <c r="K866" s="5"/>
    </row>
    <row r="867">
      <c r="K867" s="5"/>
    </row>
    <row r="868">
      <c r="K868" s="5"/>
    </row>
    <row r="869">
      <c r="K869" s="5"/>
    </row>
    <row r="870">
      <c r="K870" s="5"/>
    </row>
    <row r="871">
      <c r="K871" s="5"/>
    </row>
    <row r="872">
      <c r="K872" s="5"/>
    </row>
    <row r="873">
      <c r="K873" s="5"/>
    </row>
    <row r="874">
      <c r="K874" s="5"/>
    </row>
    <row r="875">
      <c r="K875" s="5"/>
    </row>
    <row r="876">
      <c r="K876" s="5"/>
    </row>
    <row r="877">
      <c r="K877" s="5"/>
    </row>
    <row r="878">
      <c r="K878" s="5"/>
    </row>
    <row r="879">
      <c r="K879" s="5"/>
    </row>
    <row r="880">
      <c r="K880" s="5"/>
    </row>
    <row r="881">
      <c r="K881" s="5"/>
    </row>
    <row r="882">
      <c r="K882" s="5"/>
    </row>
    <row r="883">
      <c r="K883" s="5"/>
    </row>
    <row r="884">
      <c r="K884" s="5"/>
    </row>
    <row r="885">
      <c r="K885" s="5"/>
    </row>
    <row r="886">
      <c r="K886" s="5"/>
    </row>
    <row r="887">
      <c r="K887" s="5"/>
    </row>
    <row r="888">
      <c r="K888" s="5"/>
    </row>
    <row r="889">
      <c r="K889" s="5"/>
    </row>
    <row r="890">
      <c r="K890" s="5"/>
    </row>
    <row r="891">
      <c r="K891" s="5"/>
    </row>
    <row r="892">
      <c r="K892" s="5"/>
    </row>
    <row r="893">
      <c r="K893" s="5"/>
    </row>
    <row r="894">
      <c r="K894" s="5"/>
    </row>
    <row r="895">
      <c r="K895" s="5"/>
    </row>
    <row r="896">
      <c r="K896" s="5"/>
    </row>
    <row r="897">
      <c r="K897" s="5"/>
    </row>
    <row r="898">
      <c r="K898" s="5"/>
    </row>
    <row r="899">
      <c r="K899" s="5"/>
    </row>
    <row r="900">
      <c r="K900" s="5"/>
    </row>
    <row r="901">
      <c r="K901" s="5"/>
    </row>
    <row r="902">
      <c r="K902" s="5"/>
    </row>
    <row r="903">
      <c r="K903" s="5"/>
    </row>
    <row r="904">
      <c r="K904" s="5"/>
    </row>
    <row r="905">
      <c r="K905" s="5"/>
    </row>
    <row r="906">
      <c r="K906" s="5"/>
    </row>
    <row r="907">
      <c r="K907" s="5"/>
    </row>
    <row r="908">
      <c r="K908" s="5"/>
    </row>
    <row r="909">
      <c r="K909" s="5"/>
    </row>
    <row r="910">
      <c r="K910" s="5"/>
    </row>
    <row r="911">
      <c r="K911" s="5"/>
    </row>
    <row r="912">
      <c r="K912" s="5"/>
    </row>
    <row r="913">
      <c r="K913" s="5"/>
    </row>
    <row r="914">
      <c r="K914" s="5"/>
    </row>
    <row r="915">
      <c r="K915" s="5"/>
    </row>
    <row r="916">
      <c r="K916" s="5"/>
    </row>
    <row r="917">
      <c r="K917" s="5"/>
    </row>
    <row r="918">
      <c r="K918" s="5"/>
    </row>
    <row r="919">
      <c r="K919" s="5"/>
    </row>
    <row r="920">
      <c r="K920" s="5"/>
    </row>
    <row r="921">
      <c r="K921" s="5"/>
    </row>
    <row r="922">
      <c r="K922" s="5"/>
    </row>
    <row r="923">
      <c r="K923" s="5"/>
    </row>
    <row r="924">
      <c r="K924" s="5"/>
    </row>
    <row r="925">
      <c r="K925" s="5"/>
    </row>
    <row r="926">
      <c r="K926" s="5"/>
    </row>
    <row r="927">
      <c r="K927" s="5"/>
    </row>
    <row r="928">
      <c r="K928" s="5"/>
    </row>
    <row r="929">
      <c r="K929" s="5"/>
    </row>
    <row r="930">
      <c r="K930" s="5"/>
    </row>
    <row r="931">
      <c r="K931" s="5"/>
    </row>
    <row r="932">
      <c r="K932" s="5"/>
    </row>
    <row r="933">
      <c r="K933" s="5"/>
    </row>
    <row r="934">
      <c r="K934" s="5"/>
    </row>
    <row r="935">
      <c r="K935" s="5"/>
    </row>
    <row r="936">
      <c r="K936" s="5"/>
    </row>
    <row r="937">
      <c r="K937" s="5"/>
    </row>
    <row r="938">
      <c r="K938" s="5"/>
    </row>
    <row r="939">
      <c r="K939" s="5"/>
    </row>
    <row r="940">
      <c r="K940" s="5"/>
    </row>
    <row r="941">
      <c r="K941" s="5"/>
    </row>
    <row r="942">
      <c r="K942" s="5"/>
    </row>
    <row r="943">
      <c r="K943" s="5"/>
    </row>
    <row r="944">
      <c r="K944" s="5"/>
    </row>
    <row r="945">
      <c r="K945" s="5"/>
    </row>
    <row r="946">
      <c r="K946" s="5"/>
    </row>
    <row r="947">
      <c r="K947" s="5"/>
    </row>
    <row r="948">
      <c r="K948" s="5"/>
    </row>
    <row r="949">
      <c r="K949" s="5"/>
    </row>
    <row r="950">
      <c r="K950" s="5"/>
    </row>
    <row r="951">
      <c r="K951" s="5"/>
    </row>
    <row r="952">
      <c r="K952" s="5"/>
    </row>
    <row r="953">
      <c r="K953" s="5"/>
    </row>
    <row r="954">
      <c r="K954" s="5"/>
    </row>
    <row r="955">
      <c r="K955" s="5"/>
    </row>
    <row r="956">
      <c r="K956" s="5"/>
    </row>
    <row r="957">
      <c r="K957" s="5"/>
    </row>
    <row r="958">
      <c r="K958" s="5"/>
    </row>
    <row r="959">
      <c r="K959" s="5"/>
    </row>
    <row r="960">
      <c r="K960" s="5"/>
    </row>
    <row r="961">
      <c r="K961" s="5"/>
    </row>
    <row r="962">
      <c r="K962" s="5"/>
    </row>
    <row r="963">
      <c r="K963" s="5"/>
    </row>
    <row r="964">
      <c r="K964" s="5"/>
    </row>
    <row r="965">
      <c r="K965" s="5"/>
    </row>
    <row r="966">
      <c r="K966" s="5"/>
    </row>
    <row r="967">
      <c r="K967" s="5"/>
    </row>
    <row r="968">
      <c r="K968" s="5"/>
    </row>
    <row r="969">
      <c r="K969" s="5"/>
    </row>
    <row r="970">
      <c r="K970" s="5"/>
    </row>
    <row r="971">
      <c r="K971" s="5"/>
    </row>
    <row r="972">
      <c r="K972" s="5"/>
    </row>
    <row r="973">
      <c r="K973" s="5"/>
    </row>
    <row r="974">
      <c r="K974" s="5"/>
    </row>
    <row r="975">
      <c r="K975" s="5"/>
    </row>
    <row r="976">
      <c r="K976" s="5"/>
    </row>
    <row r="977">
      <c r="K977" s="5"/>
    </row>
    <row r="978">
      <c r="K978" s="5"/>
    </row>
    <row r="979">
      <c r="K979" s="5"/>
    </row>
    <row r="980">
      <c r="K980" s="5"/>
    </row>
    <row r="981">
      <c r="K981" s="5"/>
    </row>
    <row r="982">
      <c r="K982" s="5"/>
    </row>
    <row r="983">
      <c r="K983" s="5"/>
    </row>
    <row r="984">
      <c r="K984" s="5"/>
    </row>
    <row r="985">
      <c r="K985" s="5"/>
    </row>
    <row r="986">
      <c r="K986" s="5"/>
    </row>
    <row r="987">
      <c r="K987" s="5"/>
    </row>
    <row r="988">
      <c r="K988" s="5"/>
    </row>
    <row r="989">
      <c r="K989" s="5"/>
    </row>
    <row r="990">
      <c r="K990" s="5"/>
    </row>
    <row r="991">
      <c r="K991" s="5"/>
    </row>
    <row r="992">
      <c r="K992" s="5"/>
    </row>
    <row r="993">
      <c r="K993" s="5"/>
    </row>
    <row r="994">
      <c r="K994" s="5"/>
    </row>
    <row r="995">
      <c r="K995" s="5"/>
    </row>
    <row r="996">
      <c r="K996" s="5"/>
    </row>
    <row r="997">
      <c r="K997" s="5"/>
    </row>
    <row r="998">
      <c r="K998" s="5"/>
    </row>
    <row r="999">
      <c r="K999" s="5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1"/>
  </hyperlinks>
  <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4.75"/>
    <col customWidth="1" min="12" max="13" width="31.25"/>
    <col customWidth="1" min="14" max="14" width="15.88"/>
    <col customWidth="1" min="15" max="15" width="21.13"/>
    <col customWidth="1" min="16" max="16" width="26.88"/>
    <col customWidth="1" min="17" max="20" width="18.75"/>
    <col customWidth="1" min="27" max="27" width="11.88"/>
    <col customWidth="1" min="28" max="28" width="12.63"/>
    <col customWidth="1" min="29" max="29" width="12.38"/>
  </cols>
  <sheetData>
    <row r="1">
      <c r="A1" s="1" t="s">
        <v>66</v>
      </c>
      <c r="B1" s="1" t="s">
        <v>90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95</v>
      </c>
      <c r="J1" s="1" t="s">
        <v>96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1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141</v>
      </c>
      <c r="AB1" s="1" t="s">
        <v>142</v>
      </c>
      <c r="AC1" s="1" t="s">
        <v>143</v>
      </c>
    </row>
    <row r="2">
      <c r="A2" s="12" t="s">
        <v>144</v>
      </c>
      <c r="B2" s="1">
        <v>12.0</v>
      </c>
      <c r="C2" s="1">
        <v>400.0</v>
      </c>
      <c r="D2" s="1">
        <v>5.12</v>
      </c>
      <c r="E2" s="1">
        <v>6.0</v>
      </c>
      <c r="F2" s="1">
        <v>1.0</v>
      </c>
      <c r="G2" s="15">
        <f t="shared" ref="G2:G3" si="2">E2*F2</f>
        <v>6</v>
      </c>
      <c r="H2" s="16">
        <f t="shared" ref="H2:H3" si="3">D2*E2</f>
        <v>30.72</v>
      </c>
      <c r="I2" s="9">
        <v>1500.0</v>
      </c>
      <c r="J2" s="10">
        <f t="shared" ref="J2:J3" si="4">I2*E2</f>
        <v>9000</v>
      </c>
      <c r="K2" s="1">
        <v>75.0</v>
      </c>
      <c r="L2" s="1">
        <f>1500 / 120</f>
        <v>12.5</v>
      </c>
      <c r="M2" s="1">
        <f>L2*G2</f>
        <v>75</v>
      </c>
      <c r="N2" s="2">
        <f t="shared" ref="N2:N3" si="5">C2/K2</f>
        <v>5.333333333</v>
      </c>
      <c r="O2" s="1">
        <v>500.0</v>
      </c>
      <c r="P2" s="2">
        <f t="shared" ref="P2:P3" si="6">O2*E2</f>
        <v>3000</v>
      </c>
      <c r="Q2" s="1">
        <v>109.0</v>
      </c>
      <c r="R2" s="1">
        <f t="shared" ref="R2:R3" si="7">G2*Q2</f>
        <v>654</v>
      </c>
      <c r="S2" s="2">
        <f t="shared" ref="S2:S3" si="8">H2 * 1000 / 600</f>
        <v>51.2</v>
      </c>
      <c r="T2" s="2">
        <f t="shared" ref="T2:T3" si="9">S2/$E$9</f>
        <v>10.24</v>
      </c>
      <c r="U2" s="1">
        <v>17.4</v>
      </c>
      <c r="V2" s="1">
        <v>18.5</v>
      </c>
      <c r="W2" s="1">
        <v>6.1</v>
      </c>
      <c r="X2" s="1">
        <v>2.0</v>
      </c>
      <c r="Y2" s="1">
        <v>3.0</v>
      </c>
      <c r="Z2" s="1">
        <v>1.0</v>
      </c>
      <c r="AA2" s="2">
        <f>E15 - (U2*X2)</f>
        <v>5.2</v>
      </c>
      <c r="AB2" s="2">
        <f t="shared" ref="AB2:AC2" si="1">F15-(V2*Y2)</f>
        <v>15.37</v>
      </c>
      <c r="AC2" s="2">
        <f t="shared" si="1"/>
        <v>11.62</v>
      </c>
    </row>
    <row r="3">
      <c r="A3" s="12" t="s">
        <v>145</v>
      </c>
      <c r="B3" s="1">
        <v>24.0</v>
      </c>
      <c r="C3" s="1">
        <v>200.0</v>
      </c>
      <c r="D3" s="1">
        <v>5.12</v>
      </c>
      <c r="E3" s="1">
        <v>3.0</v>
      </c>
      <c r="F3" s="1">
        <v>1.0</v>
      </c>
      <c r="G3" s="15">
        <f t="shared" si="2"/>
        <v>3</v>
      </c>
      <c r="H3" s="2">
        <f t="shared" si="3"/>
        <v>15.36</v>
      </c>
      <c r="I3" s="9">
        <v>1500.0</v>
      </c>
      <c r="J3" s="10">
        <f t="shared" si="4"/>
        <v>4500</v>
      </c>
      <c r="K3" s="1">
        <v>45.0</v>
      </c>
      <c r="L3" s="1"/>
      <c r="M3" s="1"/>
      <c r="N3" s="2">
        <f t="shared" si="5"/>
        <v>4.444444444</v>
      </c>
      <c r="O3" s="1">
        <v>1500.0</v>
      </c>
      <c r="P3" s="2">
        <f t="shared" si="6"/>
        <v>4500</v>
      </c>
      <c r="Q3" s="17">
        <v>109.0</v>
      </c>
      <c r="R3" s="1">
        <f t="shared" si="7"/>
        <v>327</v>
      </c>
      <c r="S3" s="2">
        <f t="shared" si="8"/>
        <v>25.6</v>
      </c>
      <c r="T3" s="2">
        <f t="shared" si="9"/>
        <v>5.12</v>
      </c>
      <c r="U3" s="1">
        <v>17.4</v>
      </c>
      <c r="V3" s="1">
        <v>18.5</v>
      </c>
      <c r="W3" s="1">
        <v>6.1</v>
      </c>
    </row>
    <row r="4">
      <c r="I4" s="10"/>
      <c r="J4" s="10"/>
    </row>
    <row r="5">
      <c r="I5" s="10"/>
      <c r="J5" s="10"/>
    </row>
    <row r="6">
      <c r="I6" s="10"/>
      <c r="J6" s="10"/>
    </row>
    <row r="7">
      <c r="I7" s="10"/>
      <c r="J7" s="10"/>
    </row>
    <row r="8">
      <c r="E8" s="1" t="s">
        <v>146</v>
      </c>
      <c r="F8" s="1"/>
      <c r="I8" s="10"/>
      <c r="J8" s="10"/>
    </row>
    <row r="9">
      <c r="E9" s="1">
        <v>5.0</v>
      </c>
      <c r="F9" s="1"/>
      <c r="I9" s="10"/>
      <c r="J9" s="10"/>
    </row>
    <row r="10">
      <c r="I10" s="10"/>
      <c r="J10" s="10"/>
    </row>
    <row r="11">
      <c r="I11" s="10"/>
      <c r="J11" s="10"/>
    </row>
    <row r="12">
      <c r="I12" s="10"/>
      <c r="J12" s="10"/>
    </row>
    <row r="13">
      <c r="E13" s="1" t="s">
        <v>147</v>
      </c>
      <c r="F13" s="1"/>
      <c r="I13" s="10"/>
      <c r="J13" s="10"/>
    </row>
    <row r="14">
      <c r="E14" s="1" t="s">
        <v>0</v>
      </c>
      <c r="F14" s="1" t="s">
        <v>148</v>
      </c>
      <c r="G14" s="9" t="s">
        <v>1</v>
      </c>
      <c r="J14" s="10"/>
    </row>
    <row r="15">
      <c r="E15" s="1">
        <v>40.0</v>
      </c>
      <c r="F15" s="1">
        <v>70.87</v>
      </c>
      <c r="G15" s="1">
        <v>17.72</v>
      </c>
      <c r="J15" s="10"/>
    </row>
    <row r="16">
      <c r="I16" s="10"/>
      <c r="J16" s="10"/>
    </row>
    <row r="17">
      <c r="I17" s="10"/>
      <c r="J17" s="10"/>
    </row>
    <row r="18">
      <c r="I18" s="10"/>
      <c r="J18" s="10"/>
    </row>
    <row r="19">
      <c r="I19" s="10"/>
      <c r="J19" s="10"/>
    </row>
    <row r="20">
      <c r="I20" s="10"/>
      <c r="J20" s="10"/>
    </row>
    <row r="21">
      <c r="I21" s="10"/>
      <c r="J21" s="10"/>
    </row>
    <row r="22">
      <c r="I22" s="10"/>
      <c r="J22" s="10"/>
    </row>
    <row r="23">
      <c r="I23" s="10"/>
      <c r="J23" s="10"/>
    </row>
    <row r="24">
      <c r="A24" s="1" t="s">
        <v>149</v>
      </c>
      <c r="I24" s="10"/>
      <c r="J24" s="10"/>
    </row>
    <row r="25">
      <c r="I25" s="10"/>
      <c r="J25" s="10"/>
    </row>
    <row r="26">
      <c r="I26" s="10"/>
      <c r="J26" s="10"/>
    </row>
    <row r="27">
      <c r="I27" s="10"/>
      <c r="J27" s="10"/>
    </row>
    <row r="28">
      <c r="J28" s="10"/>
    </row>
    <row r="29">
      <c r="J29" s="10"/>
    </row>
    <row r="30">
      <c r="J30" s="10"/>
    </row>
    <row r="31">
      <c r="J31" s="10"/>
    </row>
    <row r="32">
      <c r="J32" s="10"/>
    </row>
    <row r="33">
      <c r="J33" s="10"/>
    </row>
    <row r="34">
      <c r="J34" s="10"/>
    </row>
    <row r="35">
      <c r="J35" s="10"/>
    </row>
    <row r="36">
      <c r="J36" s="10"/>
    </row>
  </sheetData>
  <hyperlinks>
    <hyperlink r:id="rId1" ref="A2"/>
    <hyperlink r:id="rId2" ref="A3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5" max="5" width="14.5"/>
  </cols>
  <sheetData>
    <row r="1">
      <c r="A1" s="18" t="s">
        <v>47</v>
      </c>
      <c r="B1" s="18" t="s">
        <v>150</v>
      </c>
      <c r="C1" s="18" t="s">
        <v>151</v>
      </c>
      <c r="D1" s="18" t="s">
        <v>55</v>
      </c>
      <c r="E1" s="18" t="s">
        <v>152</v>
      </c>
      <c r="F1" s="5"/>
      <c r="G1" s="5"/>
      <c r="H1" s="5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7" t="s">
        <v>153</v>
      </c>
      <c r="B2" s="10">
        <v>14360.0</v>
      </c>
      <c r="C2" s="19">
        <v>44685.0</v>
      </c>
      <c r="D2" s="17" t="s">
        <v>58</v>
      </c>
      <c r="E2" s="18" t="s">
        <v>154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7" t="s">
        <v>155</v>
      </c>
      <c r="B3" s="10">
        <v>3548.88</v>
      </c>
      <c r="C3" s="19">
        <v>44711.0</v>
      </c>
      <c r="D3" s="17" t="s">
        <v>58</v>
      </c>
      <c r="E3" s="18" t="s">
        <v>154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7" t="s">
        <v>156</v>
      </c>
      <c r="B4" s="10">
        <v>12436.91</v>
      </c>
      <c r="C4" s="19">
        <v>44714.0</v>
      </c>
      <c r="D4" s="17" t="s">
        <v>58</v>
      </c>
      <c r="E4" s="18" t="s">
        <v>154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7" t="s">
        <v>157</v>
      </c>
      <c r="B5" s="10">
        <v>2247.28</v>
      </c>
      <c r="C5" s="19">
        <v>44721.0</v>
      </c>
      <c r="D5" s="17" t="s">
        <v>58</v>
      </c>
      <c r="E5" s="18" t="s">
        <v>154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7" t="s">
        <v>158</v>
      </c>
      <c r="B6" s="10">
        <v>1958.88</v>
      </c>
      <c r="C6" s="19">
        <v>44746.0</v>
      </c>
      <c r="D6" s="17" t="s">
        <v>58</v>
      </c>
      <c r="E6" s="18" t="s">
        <v>154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7" t="s">
        <v>159</v>
      </c>
      <c r="B7" s="10">
        <v>1864.9</v>
      </c>
      <c r="C7" s="19">
        <v>44746.0</v>
      </c>
      <c r="D7" s="17" t="s">
        <v>58</v>
      </c>
      <c r="E7" s="18" t="s">
        <v>154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7" t="s">
        <v>160</v>
      </c>
      <c r="B8" s="10">
        <v>65.0</v>
      </c>
      <c r="C8" s="19">
        <v>44743.0</v>
      </c>
      <c r="D8" s="17" t="s">
        <v>58</v>
      </c>
      <c r="E8" s="18" t="s">
        <v>154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7" t="s">
        <v>160</v>
      </c>
      <c r="B9" s="10">
        <v>215.0</v>
      </c>
      <c r="C9" s="19">
        <v>44748.0</v>
      </c>
      <c r="D9" s="17" t="s">
        <v>58</v>
      </c>
      <c r="E9" s="18" t="s">
        <v>154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7" t="s">
        <v>160</v>
      </c>
      <c r="B10" s="10">
        <v>55.0</v>
      </c>
      <c r="C10" s="19">
        <v>44742.0</v>
      </c>
      <c r="D10" s="17" t="s">
        <v>58</v>
      </c>
      <c r="E10" s="18" t="s">
        <v>154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7" t="s">
        <v>161</v>
      </c>
      <c r="B11" s="10">
        <v>582.15</v>
      </c>
      <c r="C11" s="19">
        <v>44743.0</v>
      </c>
      <c r="D11" s="17" t="s">
        <v>58</v>
      </c>
      <c r="E11" s="4" t="s">
        <v>154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7" t="s">
        <v>162</v>
      </c>
      <c r="B12" s="10">
        <v>5762.82</v>
      </c>
      <c r="C12" s="19">
        <v>44750.0</v>
      </c>
      <c r="D12" s="17" t="s">
        <v>163</v>
      </c>
      <c r="E12" s="4" t="s">
        <v>154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7" t="s">
        <v>164</v>
      </c>
      <c r="B13" s="10">
        <v>3800.0</v>
      </c>
      <c r="C13" s="19">
        <v>44754.0</v>
      </c>
      <c r="D13" s="17" t="s">
        <v>163</v>
      </c>
      <c r="E13" s="4" t="s">
        <v>154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7" t="s">
        <v>165</v>
      </c>
      <c r="B14" s="10">
        <v>977.63</v>
      </c>
      <c r="C14" s="19">
        <v>44755.0</v>
      </c>
      <c r="D14" s="17" t="s">
        <v>58</v>
      </c>
      <c r="E14" s="4" t="s">
        <v>154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7" t="s">
        <v>166</v>
      </c>
      <c r="B15" s="10">
        <v>360.78</v>
      </c>
      <c r="C15" s="19">
        <v>44756.0</v>
      </c>
      <c r="D15" s="17" t="s">
        <v>58</v>
      </c>
      <c r="E15" s="4" t="s">
        <v>154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7" t="s">
        <v>167</v>
      </c>
      <c r="B16" s="10">
        <v>412.61</v>
      </c>
      <c r="C16" s="19">
        <v>44761.0</v>
      </c>
      <c r="D16" s="17" t="s">
        <v>58</v>
      </c>
      <c r="E16" s="4" t="s">
        <v>154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7" t="s">
        <v>168</v>
      </c>
      <c r="B17" s="10">
        <v>135.84</v>
      </c>
      <c r="C17" s="19">
        <v>44761.0</v>
      </c>
      <c r="D17" s="17" t="s">
        <v>58</v>
      </c>
      <c r="E17" s="4" t="s">
        <v>154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7" t="s">
        <v>169</v>
      </c>
      <c r="B18" s="10">
        <v>43.35</v>
      </c>
      <c r="C18" s="19">
        <v>44762.0</v>
      </c>
      <c r="D18" s="17" t="s">
        <v>58</v>
      </c>
      <c r="E18" s="4" t="s">
        <v>154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7" t="s">
        <v>170</v>
      </c>
      <c r="B19" s="10">
        <v>147.11</v>
      </c>
      <c r="C19" s="19">
        <v>44762.0</v>
      </c>
      <c r="D19" s="17" t="s">
        <v>58</v>
      </c>
      <c r="E19" s="4" t="s">
        <v>154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7" t="s">
        <v>171</v>
      </c>
      <c r="B20" s="10">
        <v>96.6</v>
      </c>
      <c r="C20" s="19">
        <v>44764.0</v>
      </c>
      <c r="D20" s="17" t="s">
        <v>58</v>
      </c>
      <c r="E20" s="4" t="s">
        <v>154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7" t="s">
        <v>172</v>
      </c>
      <c r="B21" s="10">
        <v>39.82</v>
      </c>
      <c r="C21" s="19">
        <v>44774.0</v>
      </c>
      <c r="D21" s="17" t="s">
        <v>58</v>
      </c>
      <c r="E21" s="4" t="s">
        <v>154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7" t="s">
        <v>173</v>
      </c>
      <c r="B22" s="10">
        <v>7726.8</v>
      </c>
      <c r="C22" s="19">
        <v>44777.0</v>
      </c>
      <c r="D22" s="17" t="s">
        <v>58</v>
      </c>
      <c r="E22" s="4" t="s">
        <v>154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7" t="s">
        <v>174</v>
      </c>
      <c r="B23" s="10">
        <v>4382.31</v>
      </c>
      <c r="C23" s="19">
        <v>44777.0</v>
      </c>
      <c r="D23" s="17" t="s">
        <v>58</v>
      </c>
      <c r="E23" s="4" t="s">
        <v>154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7" t="s">
        <v>175</v>
      </c>
      <c r="B24" s="10">
        <v>388.66</v>
      </c>
      <c r="C24" s="19">
        <v>44988.0</v>
      </c>
      <c r="D24" s="17" t="s">
        <v>58</v>
      </c>
      <c r="E24" s="4" t="s">
        <v>154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7" t="s">
        <v>176</v>
      </c>
      <c r="B25" s="9">
        <v>1200.0</v>
      </c>
      <c r="C25" s="20">
        <v>45036.0</v>
      </c>
      <c r="D25" s="17" t="s">
        <v>163</v>
      </c>
      <c r="E25" s="4" t="s">
        <v>154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7" t="s">
        <v>177</v>
      </c>
      <c r="B26" s="10">
        <v>8863.92</v>
      </c>
      <c r="C26" s="19">
        <v>45038.0</v>
      </c>
      <c r="D26" s="17" t="s">
        <v>58</v>
      </c>
      <c r="E26" s="4" t="s">
        <v>154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7" t="s">
        <v>178</v>
      </c>
      <c r="B27" s="10">
        <v>4800.0</v>
      </c>
      <c r="C27" s="19">
        <v>45055.0</v>
      </c>
      <c r="D27" s="17" t="s">
        <v>58</v>
      </c>
      <c r="E27" s="4" t="s">
        <v>154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7" t="s">
        <v>179</v>
      </c>
      <c r="B28" s="10">
        <v>77.23</v>
      </c>
      <c r="C28" s="19">
        <v>45051.0</v>
      </c>
      <c r="D28" s="17" t="s">
        <v>58</v>
      </c>
      <c r="E28" s="4" t="s">
        <v>154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7" t="s">
        <v>180</v>
      </c>
      <c r="B29" s="10">
        <v>169.59</v>
      </c>
      <c r="C29" s="19">
        <v>45051.0</v>
      </c>
      <c r="D29" s="17" t="s">
        <v>58</v>
      </c>
      <c r="E29" s="4" t="s">
        <v>154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" t="s">
        <v>181</v>
      </c>
      <c r="B30" s="9">
        <v>1862.61</v>
      </c>
      <c r="C30" s="20">
        <v>45070.0</v>
      </c>
      <c r="D30" s="1" t="s">
        <v>163</v>
      </c>
      <c r="E30" s="4" t="s">
        <v>154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" t="s">
        <v>182</v>
      </c>
      <c r="B31" s="10">
        <v>517.53</v>
      </c>
      <c r="C31" s="20">
        <v>45079.0</v>
      </c>
      <c r="D31" s="1" t="s">
        <v>58</v>
      </c>
      <c r="E31" s="4" t="s">
        <v>154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" t="s">
        <v>183</v>
      </c>
      <c r="B32" s="21">
        <v>201.35</v>
      </c>
      <c r="C32" s="20">
        <v>45048.0</v>
      </c>
      <c r="D32" s="1" t="s">
        <v>58</v>
      </c>
      <c r="E32" s="4" t="s">
        <v>154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" t="s">
        <v>184</v>
      </c>
      <c r="B33" s="21">
        <v>352.43</v>
      </c>
      <c r="C33" s="20">
        <v>45074.0</v>
      </c>
      <c r="D33" s="1" t="s">
        <v>58</v>
      </c>
      <c r="E33" s="4" t="s">
        <v>154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" t="s">
        <v>185</v>
      </c>
      <c r="B34" s="9">
        <v>450.0</v>
      </c>
      <c r="C34" s="20">
        <v>45078.0</v>
      </c>
      <c r="D34" s="1" t="s">
        <v>163</v>
      </c>
      <c r="E34" s="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" t="s">
        <v>186</v>
      </c>
      <c r="B35" s="9">
        <v>24.0</v>
      </c>
      <c r="C35" s="20">
        <v>45078.0</v>
      </c>
      <c r="D35" s="17"/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" t="s">
        <v>187</v>
      </c>
      <c r="B36" s="9">
        <v>39.0</v>
      </c>
      <c r="C36" s="20">
        <v>45078.0</v>
      </c>
      <c r="D36" s="17"/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" t="s">
        <v>188</v>
      </c>
      <c r="B37" s="9">
        <v>12.0</v>
      </c>
      <c r="C37" s="20">
        <v>45078.0</v>
      </c>
      <c r="D37" s="17"/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" t="s">
        <v>189</v>
      </c>
      <c r="B38" s="9">
        <v>71.72</v>
      </c>
      <c r="C38" s="20">
        <v>45078.0</v>
      </c>
      <c r="D38" s="17"/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" t="s">
        <v>190</v>
      </c>
      <c r="B39" s="9">
        <v>48.0</v>
      </c>
      <c r="C39" s="20">
        <v>45078.0</v>
      </c>
      <c r="D39" s="17"/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" t="s">
        <v>191</v>
      </c>
      <c r="B40" s="9">
        <v>192.0</v>
      </c>
      <c r="C40" s="20">
        <v>45078.0</v>
      </c>
      <c r="D40" s="17"/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" t="s">
        <v>192</v>
      </c>
      <c r="B41" s="9">
        <v>45.0</v>
      </c>
      <c r="C41" s="20">
        <v>45078.0</v>
      </c>
      <c r="D41" s="17"/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" t="s">
        <v>193</v>
      </c>
      <c r="B42" s="9">
        <v>42.0</v>
      </c>
      <c r="C42" s="20">
        <v>45078.0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" t="s">
        <v>194</v>
      </c>
      <c r="B43" s="9">
        <v>211.0</v>
      </c>
      <c r="C43" s="20">
        <v>45078.0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" t="s">
        <v>195</v>
      </c>
      <c r="B44" s="9">
        <v>21.19</v>
      </c>
      <c r="C44" s="20">
        <v>45078.0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" t="s">
        <v>196</v>
      </c>
      <c r="B45" s="9">
        <v>700.0</v>
      </c>
      <c r="C45" s="20">
        <v>45078.0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" t="s">
        <v>197</v>
      </c>
      <c r="B46" s="9">
        <v>2221.0</v>
      </c>
      <c r="C46" s="20">
        <v>45092.0</v>
      </c>
      <c r="D46" s="1" t="s">
        <v>198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" t="s">
        <v>199</v>
      </c>
      <c r="B47" s="9">
        <v>100.0</v>
      </c>
      <c r="C47" s="20">
        <v>45092.0</v>
      </c>
      <c r="D47" s="1" t="s">
        <v>198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" t="s">
        <v>200</v>
      </c>
      <c r="B48" s="9">
        <v>3800.0</v>
      </c>
      <c r="C48" s="20">
        <v>45112.0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" t="s">
        <v>201</v>
      </c>
      <c r="B49" s="9">
        <v>5350.49</v>
      </c>
      <c r="C49" s="20">
        <v>45114.0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22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 t="s">
        <v>202</v>
      </c>
      <c r="B51" s="22">
        <f>sum(B2:B50)</f>
        <v>92980.39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22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22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22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 t="s">
        <v>203</v>
      </c>
      <c r="B55" s="22">
        <f>sum(B5,B22)</f>
        <v>9974.08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 t="s">
        <v>204</v>
      </c>
      <c r="B56" s="22">
        <f>B23</f>
        <v>4382.31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 t="s">
        <v>205</v>
      </c>
      <c r="B57" s="22">
        <f>SUM(B55:B56)</f>
        <v>14356.39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22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22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 t="s">
        <v>206</v>
      </c>
      <c r="B60" s="22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 t="s">
        <v>58</v>
      </c>
      <c r="B61" s="22">
        <f>sumif(D2:D50,A61, B2:B50)</f>
        <v>67027.56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" t="s">
        <v>207</v>
      </c>
      <c r="B62" s="22">
        <f>sumif(D2:D50,A62, B2:B50)</f>
        <v>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 t="s">
        <v>163</v>
      </c>
      <c r="B63" s="22">
        <f>sumif(D2:D50,A63, B2:B50)</f>
        <v>15396.43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3"/>
      <c r="B67" s="2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7" max="7" width="20.25"/>
  </cols>
  <sheetData>
    <row r="1">
      <c r="A1" s="25" t="s">
        <v>208</v>
      </c>
      <c r="B1" s="26" t="s">
        <v>209</v>
      </c>
      <c r="C1" s="27" t="s">
        <v>210</v>
      </c>
      <c r="F1" s="1" t="s">
        <v>47</v>
      </c>
      <c r="G1" s="1" t="s">
        <v>211</v>
      </c>
      <c r="H1" s="1" t="s">
        <v>2</v>
      </c>
      <c r="I1" s="1" t="s">
        <v>212</v>
      </c>
      <c r="J1" s="1" t="s">
        <v>213</v>
      </c>
    </row>
    <row r="2">
      <c r="A2" s="28">
        <v>200.0</v>
      </c>
      <c r="B2" s="1">
        <v>6.0</v>
      </c>
      <c r="C2" s="29">
        <f>A2*B2*12</f>
        <v>14400</v>
      </c>
      <c r="F2" s="1" t="s">
        <v>214</v>
      </c>
      <c r="G2" s="1">
        <v>72.0</v>
      </c>
      <c r="H2" s="1">
        <v>30.0</v>
      </c>
      <c r="I2" s="2">
        <f t="shared" ref="I2:I6" si="1">G2*H2</f>
        <v>2160</v>
      </c>
      <c r="J2" s="2">
        <f t="shared" ref="J2:J6" si="2">I2/12</f>
        <v>180</v>
      </c>
    </row>
    <row r="3">
      <c r="A3" s="30"/>
      <c r="B3" s="31"/>
      <c r="C3" s="32"/>
      <c r="F3" s="1" t="s">
        <v>215</v>
      </c>
      <c r="G3" s="1">
        <v>2000.0</v>
      </c>
      <c r="H3" s="1">
        <v>2.0</v>
      </c>
      <c r="I3" s="2">
        <f t="shared" si="1"/>
        <v>4000</v>
      </c>
      <c r="J3" s="2">
        <f t="shared" si="2"/>
        <v>333.3333333</v>
      </c>
    </row>
    <row r="4">
      <c r="F4" s="1" t="s">
        <v>216</v>
      </c>
      <c r="G4" s="1">
        <v>1000.0</v>
      </c>
      <c r="H4" s="1">
        <v>1.0</v>
      </c>
      <c r="I4" s="2">
        <f t="shared" si="1"/>
        <v>1000</v>
      </c>
      <c r="J4" s="2">
        <f t="shared" si="2"/>
        <v>83.33333333</v>
      </c>
    </row>
    <row r="5">
      <c r="F5" s="1" t="s">
        <v>217</v>
      </c>
      <c r="G5" s="1">
        <v>100.0</v>
      </c>
      <c r="H5" s="1">
        <v>1.0</v>
      </c>
      <c r="I5" s="2">
        <f t="shared" si="1"/>
        <v>100</v>
      </c>
      <c r="J5" s="2">
        <f t="shared" si="2"/>
        <v>8.333333333</v>
      </c>
    </row>
    <row r="6">
      <c r="F6" s="1" t="s">
        <v>218</v>
      </c>
      <c r="G6" s="1">
        <v>400.0</v>
      </c>
      <c r="H6" s="1">
        <v>1.0</v>
      </c>
      <c r="I6" s="2">
        <f t="shared" si="1"/>
        <v>400</v>
      </c>
      <c r="J6" s="2">
        <f t="shared" si="2"/>
        <v>33.33333333</v>
      </c>
    </row>
    <row r="17">
      <c r="H17" s="1" t="s">
        <v>202</v>
      </c>
      <c r="I17" s="2">
        <f>sum(I2:I16)</f>
        <v>7660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1" t="s">
        <v>47</v>
      </c>
      <c r="B1" s="1" t="s">
        <v>219</v>
      </c>
      <c r="C1" s="1" t="s">
        <v>220</v>
      </c>
      <c r="D1" s="1" t="s">
        <v>13</v>
      </c>
      <c r="G1" s="1" t="s">
        <v>221</v>
      </c>
    </row>
    <row r="2">
      <c r="A2" s="1" t="s">
        <v>222</v>
      </c>
      <c r="B2" s="1">
        <v>1.2</v>
      </c>
      <c r="C2" s="1">
        <v>72.0</v>
      </c>
      <c r="D2" s="2">
        <f t="shared" ref="D2:D7" si="1">C2*B2</f>
        <v>86.4</v>
      </c>
    </row>
    <row r="3">
      <c r="A3" s="1" t="s">
        <v>223</v>
      </c>
      <c r="B3" s="1">
        <v>35.0</v>
      </c>
      <c r="C3" s="1">
        <v>72.0</v>
      </c>
      <c r="D3" s="2">
        <f t="shared" si="1"/>
        <v>2520</v>
      </c>
    </row>
    <row r="4">
      <c r="A4" s="1" t="s">
        <v>224</v>
      </c>
      <c r="B4" s="1">
        <v>70.0</v>
      </c>
      <c r="C4" s="1">
        <v>72.0</v>
      </c>
      <c r="D4" s="2">
        <f t="shared" si="1"/>
        <v>5040</v>
      </c>
    </row>
    <row r="5">
      <c r="A5" s="1" t="s">
        <v>225</v>
      </c>
      <c r="B5" s="1">
        <v>4.0</v>
      </c>
      <c r="C5" s="1">
        <v>12.0</v>
      </c>
      <c r="D5" s="2">
        <f t="shared" si="1"/>
        <v>48</v>
      </c>
    </row>
    <row r="6">
      <c r="A6" s="1" t="s">
        <v>226</v>
      </c>
      <c r="B6" s="1">
        <v>12.0</v>
      </c>
      <c r="C6" s="1">
        <v>12.0</v>
      </c>
      <c r="D6" s="2">
        <f t="shared" si="1"/>
        <v>144</v>
      </c>
    </row>
    <row r="7">
      <c r="A7" s="1" t="s">
        <v>227</v>
      </c>
      <c r="B7" s="1">
        <v>22.0</v>
      </c>
      <c r="C7" s="1">
        <v>12.0</v>
      </c>
      <c r="D7" s="2">
        <f t="shared" si="1"/>
        <v>264</v>
      </c>
    </row>
    <row r="11">
      <c r="A11" s="1" t="s">
        <v>228</v>
      </c>
      <c r="D11" s="2">
        <f t="shared" ref="D11:D13" si="2">D2+D5</f>
        <v>134.4</v>
      </c>
    </row>
    <row r="12">
      <c r="A12" s="1" t="s">
        <v>229</v>
      </c>
      <c r="D12" s="2">
        <f t="shared" si="2"/>
        <v>2664</v>
      </c>
    </row>
    <row r="13">
      <c r="A13" s="1" t="s">
        <v>230</v>
      </c>
      <c r="D13" s="2">
        <f t="shared" si="2"/>
        <v>5304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63"/>
    <col customWidth="1" min="5" max="5" width="26.5"/>
  </cols>
  <sheetData>
    <row r="1">
      <c r="A1" s="33" t="s">
        <v>231</v>
      </c>
      <c r="B1" s="33" t="s">
        <v>232</v>
      </c>
      <c r="C1" s="33" t="s">
        <v>233</v>
      </c>
    </row>
    <row r="2">
      <c r="A2" s="1" t="s">
        <v>234</v>
      </c>
      <c r="B2" s="1">
        <v>3000.0</v>
      </c>
      <c r="C2" s="1" t="s">
        <v>235</v>
      </c>
    </row>
    <row r="3">
      <c r="A3" s="1" t="s">
        <v>236</v>
      </c>
      <c r="B3" s="1">
        <v>360.0</v>
      </c>
      <c r="C3" s="1" t="s">
        <v>237</v>
      </c>
    </row>
    <row r="4">
      <c r="A4" s="1" t="s">
        <v>238</v>
      </c>
      <c r="B4" s="1">
        <v>300.0</v>
      </c>
    </row>
    <row r="5">
      <c r="A5" s="1" t="s">
        <v>239</v>
      </c>
      <c r="B5" s="1">
        <v>250.0</v>
      </c>
      <c r="C5" s="1" t="s">
        <v>240</v>
      </c>
    </row>
    <row r="6">
      <c r="A6" s="1" t="s">
        <v>241</v>
      </c>
      <c r="B6" s="1">
        <v>50.0</v>
      </c>
      <c r="C6" s="1" t="s">
        <v>242</v>
      </c>
    </row>
    <row r="7">
      <c r="A7" s="34" t="s">
        <v>202</v>
      </c>
      <c r="B7" s="35">
        <f>SUM(B2:B6)</f>
        <v>3960</v>
      </c>
    </row>
    <row r="9">
      <c r="A9" s="1" t="s">
        <v>243</v>
      </c>
      <c r="C9" s="12" t="s">
        <v>244</v>
      </c>
      <c r="E9" s="1" t="s">
        <v>245</v>
      </c>
    </row>
  </sheetData>
  <hyperlinks>
    <hyperlink r:id="rId1" ref="C9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246</v>
      </c>
    </row>
  </sheetData>
  <hyperlinks>
    <hyperlink r:id="rId1" location="gid=1112253488" ref="A1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247</v>
      </c>
    </row>
  </sheetData>
  <hyperlinks>
    <hyperlink r:id="rId1" ref="A1"/>
  </hyperlinks>
  <drawing r:id="rId2"/>
</worksheet>
</file>